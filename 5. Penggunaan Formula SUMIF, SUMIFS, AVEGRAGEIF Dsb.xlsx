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DqLab\BC Data Analis excel\Sesi 5\"/>
    </mc:Choice>
  </mc:AlternateContent>
  <xr:revisionPtr revIDLastSave="0" documentId="8_{E84F8F29-7789-4D7C-B02A-58894CCF59DC}" xr6:coauthVersionLast="47" xr6:coauthVersionMax="47" xr10:uidLastSave="{00000000-0000-0000-0000-000000000000}"/>
  <bookViews>
    <workbookView xWindow="-110" yWindow="-110" windowWidth="19420" windowHeight="12220" activeTab="2" xr2:uid="{00000000-000D-0000-FFFF-FFFF00000000}"/>
  </bookViews>
  <sheets>
    <sheet name="Transaksi" sheetId="1" r:id="rId1"/>
    <sheet name="Misi 5-1" sheetId="2" r:id="rId2"/>
    <sheet name="Misi 5-2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65RatN/yyczm3oQajXjc3GdUkBcFJazIr6I93t55/nM="/>
    </ext>
  </extLst>
</workbook>
</file>

<file path=xl/calcChain.xml><?xml version="1.0" encoding="utf-8"?>
<calcChain xmlns="http://schemas.openxmlformats.org/spreadsheetml/2006/main">
  <c r="S43" i="3" l="1"/>
  <c r="N44" i="3"/>
  <c r="D40" i="3"/>
  <c r="I41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4" i="2"/>
  <c r="B5" i="2"/>
  <c r="B6" i="2"/>
  <c r="B7" i="2"/>
</calcChain>
</file>

<file path=xl/sharedStrings.xml><?xml version="1.0" encoding="utf-8"?>
<sst xmlns="http://schemas.openxmlformats.org/spreadsheetml/2006/main" count="1390" uniqueCount="192">
  <si>
    <t>Detail Pembelian pada Setiap Produk dan Transaksi pada Setiap Cabang di 1 Januari 2017</t>
  </si>
  <si>
    <t>Tanggal Transaksi</t>
  </si>
  <si>
    <t>kode transaksi</t>
  </si>
  <si>
    <t>Urutan Transaksi</t>
  </si>
  <si>
    <t>Kode Produk</t>
  </si>
  <si>
    <t>Jumlah Pembelian</t>
  </si>
  <si>
    <t>Cabang</t>
  </si>
  <si>
    <t>Kategori Produk</t>
  </si>
  <si>
    <t>Harga</t>
  </si>
  <si>
    <t>Revenue</t>
  </si>
  <si>
    <t>CAB001-00001</t>
  </si>
  <si>
    <t>ATS-0004</t>
  </si>
  <si>
    <t>Medan</t>
  </si>
  <si>
    <t>Atasan</t>
  </si>
  <si>
    <t>AKS-0017</t>
  </si>
  <si>
    <t>Aksesoris</t>
  </si>
  <si>
    <t>BWH-0009</t>
  </si>
  <si>
    <t>Bawahan</t>
  </si>
  <si>
    <t>OLR-0023</t>
  </si>
  <si>
    <t>Pakaian Olahraga</t>
  </si>
  <si>
    <t>CAB001-00002</t>
  </si>
  <si>
    <t>ATS-0002</t>
  </si>
  <si>
    <t>CAB001-00003</t>
  </si>
  <si>
    <t>BWH-0007</t>
  </si>
  <si>
    <t>CAB001-00004</t>
  </si>
  <si>
    <t>OLR-0022</t>
  </si>
  <si>
    <t>CAB001-00005</t>
  </si>
  <si>
    <t>BWH-0008</t>
  </si>
  <si>
    <t>CAB001-00006</t>
  </si>
  <si>
    <t>BWH-0010</t>
  </si>
  <si>
    <t>CAB001-00007</t>
  </si>
  <si>
    <t>GUN-0011</t>
  </si>
  <si>
    <t>Gaun</t>
  </si>
  <si>
    <t>CAB001-00008</t>
  </si>
  <si>
    <t>ATS-0005</t>
  </si>
  <si>
    <t>AKS-0016</t>
  </si>
  <si>
    <t>CAB001-00009</t>
  </si>
  <si>
    <t>OLR-0021</t>
  </si>
  <si>
    <t>CAB001-00010</t>
  </si>
  <si>
    <t>AKS-0019</t>
  </si>
  <si>
    <t>CAB001-00011</t>
  </si>
  <si>
    <t>CAB001-00012</t>
  </si>
  <si>
    <t>OLR-0025</t>
  </si>
  <si>
    <t>CAB001-00013</t>
  </si>
  <si>
    <t>CAB001-00014</t>
  </si>
  <si>
    <t>GUN-0015</t>
  </si>
  <si>
    <t>AKS-0018</t>
  </si>
  <si>
    <t>CAB001-00015</t>
  </si>
  <si>
    <t>ATS-0001</t>
  </si>
  <si>
    <t>AKS-0020</t>
  </si>
  <si>
    <t>CAB001-00016</t>
  </si>
  <si>
    <t>CAB001-00017</t>
  </si>
  <si>
    <t>CAB001-00018</t>
  </si>
  <si>
    <t>BWH-0006</t>
  </si>
  <si>
    <t>GUN-0012</t>
  </si>
  <si>
    <t>CAB001-00019</t>
  </si>
  <si>
    <t>CAB001-00020</t>
  </si>
  <si>
    <t>CAB001-00021</t>
  </si>
  <si>
    <t>CAB001-00022</t>
  </si>
  <si>
    <t>ATS-0003</t>
  </si>
  <si>
    <t>CAB001-00023</t>
  </si>
  <si>
    <t>CAB001-00024</t>
  </si>
  <si>
    <t>CAB001-00025</t>
  </si>
  <si>
    <t>OLR-0024</t>
  </si>
  <si>
    <t>CAB001-00026</t>
  </si>
  <si>
    <t>CAB001-00027</t>
  </si>
  <si>
    <t>CAB001-00028</t>
  </si>
  <si>
    <t>CAB001-00029</t>
  </si>
  <si>
    <t>CAB001-00030</t>
  </si>
  <si>
    <t>CAB001-00031</t>
  </si>
  <si>
    <t>CAB001-00032</t>
  </si>
  <si>
    <t>CAB002-00001</t>
  </si>
  <si>
    <t>Surabaya</t>
  </si>
  <si>
    <t>CAB002-00002</t>
  </si>
  <si>
    <t>CAB002-00003</t>
  </si>
  <si>
    <t>CAB002-00004</t>
  </si>
  <si>
    <t>CAB002-00005</t>
  </si>
  <si>
    <t>CAB002-00006</t>
  </si>
  <si>
    <t>CAB002-00007</t>
  </si>
  <si>
    <t>CAB002-00008</t>
  </si>
  <si>
    <t>CAB002-00009</t>
  </si>
  <si>
    <t>CAB002-00010</t>
  </si>
  <si>
    <t>CAB002-00011</t>
  </si>
  <si>
    <t>CAB002-00012</t>
  </si>
  <si>
    <t>GUN-0013</t>
  </si>
  <si>
    <t>CAB002-00013</t>
  </si>
  <si>
    <t>CAB002-00014</t>
  </si>
  <si>
    <t>CAB002-00015</t>
  </si>
  <si>
    <t>GUN-0014</t>
  </si>
  <si>
    <t>CAB002-00016</t>
  </si>
  <si>
    <t>CAB002-00017</t>
  </si>
  <si>
    <t>CAB002-00018</t>
  </si>
  <si>
    <t>CAB002-00019</t>
  </si>
  <si>
    <t>CAB002-00020</t>
  </si>
  <si>
    <t>CAB002-00021</t>
  </si>
  <si>
    <t>CAB002-00022</t>
  </si>
  <si>
    <t>CAB002-00023</t>
  </si>
  <si>
    <t>CAB002-00024</t>
  </si>
  <si>
    <t>CAB002-00025</t>
  </si>
  <si>
    <t>CAB002-00026</t>
  </si>
  <si>
    <t>CAB002-00027</t>
  </si>
  <si>
    <t>CAB002-00028</t>
  </si>
  <si>
    <t>CAB002-00029</t>
  </si>
  <si>
    <t>CAB002-00030</t>
  </si>
  <si>
    <t>CAB002-00031</t>
  </si>
  <si>
    <t>CAB002-00032</t>
  </si>
  <si>
    <t>CAB002-00033</t>
  </si>
  <si>
    <t>CAB003-00001</t>
  </si>
  <si>
    <t>Makassar</t>
  </si>
  <si>
    <t>CAB003-00002</t>
  </si>
  <si>
    <t>CAB003-00003</t>
  </si>
  <si>
    <t>CAB003-00004</t>
  </si>
  <si>
    <t>CAB003-00005</t>
  </si>
  <si>
    <t>CAB003-00006</t>
  </si>
  <si>
    <t>CAB003-00007</t>
  </si>
  <si>
    <t>CAB003-00008</t>
  </si>
  <si>
    <t>CAB003-00009</t>
  </si>
  <si>
    <t>CAB003-00010</t>
  </si>
  <si>
    <t>CAB003-00011</t>
  </si>
  <si>
    <t>CAB003-00012</t>
  </si>
  <si>
    <t>CAB003-00013</t>
  </si>
  <si>
    <t>CAB003-00014</t>
  </si>
  <si>
    <t>CAB003-00015</t>
  </si>
  <si>
    <t>CAB003-00016</t>
  </si>
  <si>
    <t>CAB003-00017</t>
  </si>
  <si>
    <t>CAB003-00018</t>
  </si>
  <si>
    <t>CAB003-00019</t>
  </si>
  <si>
    <t>CAB003-00020</t>
  </si>
  <si>
    <t>CAB003-00021</t>
  </si>
  <si>
    <t>CAB003-00022</t>
  </si>
  <si>
    <t>CAB003-00023</t>
  </si>
  <si>
    <t>CAB003-00024</t>
  </si>
  <si>
    <t>CAB003-00025</t>
  </si>
  <si>
    <t>CAB003-00026</t>
  </si>
  <si>
    <t>CAB003-00027</t>
  </si>
  <si>
    <t>CAB003-00028</t>
  </si>
  <si>
    <t>CAB003-00029</t>
  </si>
  <si>
    <t>CAB003-00030</t>
  </si>
  <si>
    <t>CAB003-00031</t>
  </si>
  <si>
    <t>CAB003-00032</t>
  </si>
  <si>
    <t>CAB003-00033</t>
  </si>
  <si>
    <t>CAB003-00034</t>
  </si>
  <si>
    <t>CAB003-00035</t>
  </si>
  <si>
    <t>CAB003-00036</t>
  </si>
  <si>
    <t>CAB004-00001</t>
  </si>
  <si>
    <t>Jakarta</t>
  </si>
  <si>
    <t>CAB004-00002</t>
  </si>
  <si>
    <t>CAB004-00003</t>
  </si>
  <si>
    <t>CAB004-00004</t>
  </si>
  <si>
    <t>CAB004-00005</t>
  </si>
  <si>
    <t>CAB004-00006</t>
  </si>
  <si>
    <t>CAB004-00007</t>
  </si>
  <si>
    <t>CAB004-00008</t>
  </si>
  <si>
    <t>CAB004-00009</t>
  </si>
  <si>
    <t>CAB004-00010</t>
  </si>
  <si>
    <t>CAB004-00011</t>
  </si>
  <si>
    <t>CAB004-00012</t>
  </si>
  <si>
    <t>CAB004-00013</t>
  </si>
  <si>
    <t>CAB004-00014</t>
  </si>
  <si>
    <t>CAB004-00015</t>
  </si>
  <si>
    <t>CAB004-00016</t>
  </si>
  <si>
    <t>CAB004-00017</t>
  </si>
  <si>
    <t>CAB004-00018</t>
  </si>
  <si>
    <t>CAB004-00019</t>
  </si>
  <si>
    <t>CAB004-00020</t>
  </si>
  <si>
    <t>CAB004-00021</t>
  </si>
  <si>
    <t>CAB004-00022</t>
  </si>
  <si>
    <t>CAB004-00023</t>
  </si>
  <si>
    <t>CAB004-00024</t>
  </si>
  <si>
    <t>CAB004-00025</t>
  </si>
  <si>
    <t>CAB004-00026</t>
  </si>
  <si>
    <t>CAB004-00027</t>
  </si>
  <si>
    <t>CAB004-00028</t>
  </si>
  <si>
    <t>CAB004-00029</t>
  </si>
  <si>
    <t>CAB004-00030</t>
  </si>
  <si>
    <t>CAB004-00031</t>
  </si>
  <si>
    <t>CAB004-00032</t>
  </si>
  <si>
    <t>CAB004-00033</t>
  </si>
  <si>
    <t>CAB004-00034</t>
  </si>
  <si>
    <t>CAB004-00035</t>
  </si>
  <si>
    <t>Rata-Rata Penjualan pada Tahun Baru 2017 di Tiap Cabang DQFashion</t>
  </si>
  <si>
    <t>BACA KETENTUAN DIBAWAH !</t>
  </si>
  <si>
    <t>Pelanggan yang berhak mendapatkan diskon tahun baru 20% di cabang Medan</t>
  </si>
  <si>
    <t>Pelanggan yang berhak mendapatkan diskon  tahun baru 20% di cabang Surabaya</t>
  </si>
  <si>
    <t>Pelanggan yang berhak mendapatkan diskon  tahun baru 20% di cabang Makassar</t>
  </si>
  <si>
    <t>Pelanggan yang berhak mendapatkan diskon  tahun baru 20% di cabang Jakarta</t>
  </si>
  <si>
    <t>Transaksi</t>
  </si>
  <si>
    <t>Jumlah Item</t>
  </si>
  <si>
    <t>Total Transaksi</t>
  </si>
  <si>
    <t>Diskon</t>
  </si>
  <si>
    <t>Jumlah pelanggan mendapat voucher diskon :</t>
  </si>
  <si>
    <t>Rata-Rata Penjualan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</si>
</sst>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164" formatCode="_-[$Rp-3809]* #,##0.00_-;\-[$Rp-3809]* #,##0.00_-;_-[$Rp-3809]* &quot;-&quot;??_-;_-@"/>
    <numFmt numFmtId="165" formatCode="_-&quot;Rp&quot;* #,##0_-;\-&quot;Rp&quot;* #,##0_-;_-&quot;Rp&quot;* &quot;-&quot;_-;_-@"/>
    <numFmt numFmtId="166" formatCode="_-&quot;Rp&quot;* #,##0.0_-;\-&quot;Rp&quot;* #,##0.0_-;_-&quot;Rp&quot;* &quot;-&quot;?_-;_-@"/>
    <numFmt numFmtId="167" formatCode="[$-409]dd\-mmm\-yy;@"/>
    <numFmt numFmtId="168" formatCode="_-* #,##0_-;\-* #,##0_-;_-* &quot;-&quot;??_-;_-@_-"/>
    <numFmt numFmtId="169" formatCode="_-&quot;Rp&quot;* #,##0_-;\-&quot;Rp&quot;* #,##0_-;_-&quot;Rp&quot;* &quot;-&quot;??_-;_-@_-"/>
  </numFmts>
  <fonts count="10" x14ac:knownFonts="1">
    <font>
      <sz val="11"/>
      <color theme="1"/>
      <name val="Calibri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1"/>
      <color rgb="FFFF0000"/>
      <name val="Calibri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  <fill>
      <patternFill patternType="solid">
        <fgColor theme="7"/>
        <bgColor theme="7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164" fontId="3" fillId="0" borderId="0" xfId="0" applyNumberFormat="1" applyFont="1"/>
    <xf numFmtId="0" fontId="1" fillId="0" borderId="0" xfId="0" applyFont="1"/>
    <xf numFmtId="165" fontId="3" fillId="0" borderId="0" xfId="0" applyNumberFormat="1" applyFont="1"/>
    <xf numFmtId="0" fontId="5" fillId="0" borderId="0" xfId="0" applyFont="1"/>
    <xf numFmtId="0" fontId="6" fillId="0" borderId="0" xfId="0" applyFont="1"/>
    <xf numFmtId="166" fontId="3" fillId="0" borderId="0" xfId="0" applyNumberFormat="1" applyFont="1"/>
    <xf numFmtId="0" fontId="4" fillId="2" borderId="2" xfId="0" applyFont="1" applyFill="1" applyBorder="1"/>
    <xf numFmtId="165" fontId="4" fillId="2" borderId="2" xfId="0" applyNumberFormat="1" applyFont="1" applyFill="1" applyBorder="1"/>
    <xf numFmtId="0" fontId="4" fillId="3" borderId="1" xfId="0" applyFont="1" applyFill="1" applyBorder="1"/>
    <xf numFmtId="165" fontId="4" fillId="3" borderId="1" xfId="0" applyNumberFormat="1" applyFont="1" applyFill="1" applyBorder="1"/>
    <xf numFmtId="0" fontId="4" fillId="4" borderId="1" xfId="0" applyFont="1" applyFill="1" applyBorder="1"/>
    <xf numFmtId="165" fontId="4" fillId="4" borderId="1" xfId="0" applyNumberFormat="1" applyFont="1" applyFill="1" applyBorder="1"/>
    <xf numFmtId="0" fontId="4" fillId="5" borderId="1" xfId="0" applyFont="1" applyFill="1" applyBorder="1"/>
    <xf numFmtId="164" fontId="4" fillId="5" borderId="1" xfId="0" applyNumberFormat="1" applyFont="1" applyFill="1" applyBorder="1"/>
    <xf numFmtId="167" fontId="0" fillId="0" borderId="0" xfId="0" applyNumberFormat="1"/>
    <xf numFmtId="0" fontId="8" fillId="0" borderId="0" xfId="0" applyFont="1"/>
    <xf numFmtId="168" fontId="0" fillId="0" borderId="0" xfId="1" applyNumberFormat="1" applyFont="1"/>
    <xf numFmtId="168" fontId="8" fillId="0" borderId="0" xfId="1" applyNumberFormat="1" applyFont="1"/>
    <xf numFmtId="165" fontId="0" fillId="0" borderId="0" xfId="0" applyNumberFormat="1"/>
    <xf numFmtId="0" fontId="0" fillId="6" borderId="0" xfId="0" applyFill="1"/>
    <xf numFmtId="0" fontId="0" fillId="7" borderId="0" xfId="0" applyFill="1"/>
    <xf numFmtId="169" fontId="0" fillId="0" borderId="0" xfId="0" applyNumberFormat="1"/>
    <xf numFmtId="169" fontId="0" fillId="6" borderId="0" xfId="0" applyNumberFormat="1" applyFill="1"/>
    <xf numFmtId="169" fontId="0" fillId="7" borderId="0" xfId="0" applyNumberFormat="1" applyFill="1"/>
    <xf numFmtId="0" fontId="1" fillId="0" borderId="0" xfId="0" applyFont="1" applyAlignment="1">
      <alignment horizontal="center" wrapText="1"/>
    </xf>
    <xf numFmtId="0" fontId="0" fillId="0" borderId="0" xfId="0"/>
  </cellXfs>
  <cellStyles count="2">
    <cellStyle name="Comma" xfId="1" builtinId="3"/>
    <cellStyle name="Normal" xfId="0" builtinId="0"/>
  </cellStyles>
  <dxfs count="39">
    <dxf>
      <numFmt numFmtId="166" formatCode="_-&quot;Rp&quot;* #,##0.0_-;\-&quot;Rp&quot;* #,##0.0_-;_-&quot;Rp&quot;* &quot;-&quot;?_-;_-@"/>
    </dxf>
    <dxf>
      <numFmt numFmtId="165" formatCode="_-&quot;Rp&quot;* #,##0_-;\-&quot;Rp&quot;* #,##0_-;_-&quot;Rp&quot;* &quot;-&quot;_-;_-@"/>
    </dxf>
    <dxf>
      <numFmt numFmtId="0" formatCode="General"/>
    </dxf>
    <dxf>
      <numFmt numFmtId="166" formatCode="_-&quot;Rp&quot;* #,##0.0_-;\-&quot;Rp&quot;* #,##0.0_-;_-&quot;Rp&quot;* &quot;-&quot;?_-;_-@"/>
    </dxf>
    <dxf>
      <numFmt numFmtId="165" formatCode="_-&quot;Rp&quot;* #,##0_-;\-&quot;Rp&quot;* #,##0_-;_-&quot;Rp&quot;* &quot;-&quot;_-;_-@"/>
    </dxf>
    <dxf>
      <numFmt numFmtId="0" formatCode="General"/>
    </dxf>
    <dxf>
      <numFmt numFmtId="166" formatCode="_-&quot;Rp&quot;* #,##0.0_-;\-&quot;Rp&quot;* #,##0.0_-;_-&quot;Rp&quot;* &quot;-&quot;?_-;_-@"/>
    </dxf>
    <dxf>
      <numFmt numFmtId="165" formatCode="_-&quot;Rp&quot;* #,##0_-;\-&quot;Rp&quot;* #,##0_-;_-&quot;Rp&quot;* &quot;-&quot;_-;_-@"/>
    </dxf>
    <dxf>
      <numFmt numFmtId="0" formatCode="General"/>
    </dxf>
    <dxf>
      <numFmt numFmtId="166" formatCode="_-&quot;Rp&quot;* #,##0.0_-;\-&quot;Rp&quot;* #,##0.0_-;_-&quot;Rp&quot;* &quot;-&quot;?_-;_-@"/>
    </dxf>
    <dxf>
      <numFmt numFmtId="165" formatCode="_-&quot;Rp&quot;* #,##0_-;\-&quot;Rp&quot;* #,##0_-;_-&quot;Rp&quot;* &quot;-&quot;_-;_-@"/>
    </dxf>
    <dxf>
      <numFmt numFmtId="0" formatCode="General"/>
    </dxf>
    <dxf>
      <numFmt numFmtId="169" formatCode="_-&quot;Rp&quot;* #,##0_-;\-&quot;Rp&quot;* #,##0_-;_-&quot;Rp&quot;* &quot;-&quot;??_-;_-@_-"/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numFmt numFmtId="168" formatCode="_-* #,##0_-;\-* #,##0_-;_-* &quot;-&quot;??_-;_-@_-"/>
    </dxf>
    <dxf>
      <numFmt numFmtId="168" formatCode="_-* #,##0_-;\-* #,##0_-;_-* &quot;-&quot;??_-;_-@_-"/>
    </dxf>
    <dxf>
      <numFmt numFmtId="170" formatCode="_-[$Rp-3809]* #,##0.00_-;\-[$Rp-3809]* #,##0.00_-;_-[$Rp-3809]* &quot;-&quot;??_-;_-@_-"/>
    </dxf>
    <dxf>
      <numFmt numFmtId="170" formatCode="_-[$Rp-3809]* #,##0.00_-;\-[$Rp-3809]* #,##0.00_-;_-[$Rp-3809]* &quot;-&quot;??_-;_-@_-"/>
    </dxf>
    <dxf>
      <numFmt numFmtId="167" formatCode="[$-409]dd\-mmm\-yy;@"/>
    </dxf>
    <dxf>
      <font>
        <b/>
        <family val="2"/>
      </font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6">
    <tableStyle name="Soal 1-style" pivot="0" count="3" xr9:uid="{00000000-0011-0000-FFFF-FFFF00000000}">
      <tableStyleElement type="headerRow" dxfId="38"/>
      <tableStyleElement type="firstRowStripe" dxfId="37"/>
      <tableStyleElement type="secondRowStripe" dxfId="36"/>
    </tableStyle>
    <tableStyle name="Soal 2-style" pivot="0" count="3" xr9:uid="{00000000-0011-0000-FFFF-FFFF01000000}">
      <tableStyleElement type="headerRow" dxfId="35"/>
      <tableStyleElement type="firstRowStripe" dxfId="34"/>
      <tableStyleElement type="secondRowStripe" dxfId="33"/>
    </tableStyle>
    <tableStyle name="Soal 3-style" pivot="0" count="3" xr9:uid="{00000000-0011-0000-FFFF-FFFF02000000}">
      <tableStyleElement type="headerRow" dxfId="32"/>
      <tableStyleElement type="firstRowStripe" dxfId="31"/>
      <tableStyleElement type="secondRowStripe" dxfId="30"/>
    </tableStyle>
    <tableStyle name="Soal 3-style 2" pivot="0" count="3" xr9:uid="{00000000-0011-0000-FFFF-FFFF03000000}">
      <tableStyleElement type="headerRow" dxfId="29"/>
      <tableStyleElement type="firstRowStripe" dxfId="28"/>
      <tableStyleElement type="secondRowStripe" dxfId="27"/>
    </tableStyle>
    <tableStyle name="Soal 3-style 3" pivot="0" count="3" xr9:uid="{00000000-0011-0000-FFFF-FFFF04000000}">
      <tableStyleElement type="headerRow" dxfId="26"/>
      <tableStyleElement type="firstRowStripe" dxfId="25"/>
      <tableStyleElement type="secondRowStripe" dxfId="24"/>
    </tableStyle>
    <tableStyle name="Soal 3-style 4" pivot="0" count="3" xr9:uid="{00000000-0011-0000-FFFF-FFFF05000000}">
      <tableStyleElement type="headerRow" dxfId="23"/>
      <tableStyleElement type="firstRowStripe" dxfId="22"/>
      <tableStyleElement type="secondRowStripe" dxfId="2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I306" headerRowDxfId="20">
  <autoFilter ref="A3:I306" xr:uid="{00000000-000C-0000-FFFF-FFFF00000000}"/>
  <tableColumns count="9">
    <tableColumn id="1" xr3:uid="{00000000-0010-0000-0000-000001000000}" name="Tanggal Transaksi" dataDxfId="19"/>
    <tableColumn id="2" xr3:uid="{00000000-0010-0000-0000-000002000000}" name="kode transaksi"/>
    <tableColumn id="3" xr3:uid="{00000000-0010-0000-0000-000003000000}" name="Urutan Transaksi" dataDxfId="18"/>
    <tableColumn id="4" xr3:uid="{00000000-0010-0000-0000-000004000000}" name="Kode Produk"/>
    <tableColumn id="5" xr3:uid="{00000000-0010-0000-0000-000005000000}" name="Jumlah Pembelian" dataDxfId="17"/>
    <tableColumn id="6" xr3:uid="{EC5C25E9-3972-44BE-B6B2-A10332FEAF85}" name="Cabang"/>
    <tableColumn id="7" xr3:uid="{6BA64F28-47EF-4998-BDE4-C5B983FB43B2}" name="Kategori Produk"/>
    <tableColumn id="8" xr3:uid="{F08D6A2B-AFAE-44D7-BC1F-DF37AB442200}" name="Harga" dataDxfId="16" dataCellStyle="Comma"/>
    <tableColumn id="9" xr3:uid="{11689F6A-84FD-4EDC-829E-FD4B691A4EC7}" name="Revenue" dataDxfId="15" dataCellStyle="Comma"/>
  </tableColumns>
  <tableStyleInfo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3BD9943-3F06-4D19-A7E7-349A040E0F16}" name="Table10" displayName="Table10" ref="A3:B7" totalsRowShown="0" headerRowDxfId="14">
  <autoFilter ref="A3:B7" xr:uid="{B3BD9943-3F06-4D19-A7E7-349A040E0F16}">
    <filterColumn colId="0" hiddenButton="1"/>
    <filterColumn colId="1" hiddenButton="1"/>
  </autoFilter>
  <tableColumns count="2">
    <tableColumn id="1" xr3:uid="{7423A76B-5C4B-44E9-995C-CB40CCF5170E}" name="Cabang" dataDxfId="13"/>
    <tableColumn id="2" xr3:uid="{23DECC27-C546-4847-A7BF-763D6559392C}" name="Rata-Rata Penjualan" dataDxfId="12">
      <calculatedColumnFormula>AVERAGEIFS(Table_1[Revenue],Table_1[Cabang],'Misi 5-1'!A4)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5:D37">
  <tableColumns count="4">
    <tableColumn id="1" xr3:uid="{00000000-0010-0000-0200-000001000000}" name="Transaksi"/>
    <tableColumn id="2" xr3:uid="{00000000-0010-0000-0200-000002000000}" name="Jumlah Item" dataDxfId="11">
      <calculatedColumnFormula>SUMIFS(Table_1[Jumlah Pembelian],Table_1[kode transaksi],Table_3[[#This Row],[Transaksi]])</calculatedColumnFormula>
    </tableColumn>
    <tableColumn id="3" xr3:uid="{00000000-0010-0000-0200-000003000000}" name="Total Transaksi" dataDxfId="10">
      <calculatedColumnFormula>SUMIFS(Table_1[Revenue],Table_1[kode transaksi],Table_3[[#This Row],[Transaksi]])</calculatedColumnFormula>
    </tableColumn>
    <tableColumn id="4" xr3:uid="{00000000-0010-0000-0200-000004000000}" name="Diskon" dataDxfId="9">
      <calculatedColumnFormula>IF(AND(C6&gt;'Misi 5-1'!B4,B6&gt;5),"20%","-")</calculatedColumnFormula>
    </tableColumn>
  </tableColumns>
  <tableStyleInfo name="Soal 3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F5:I38">
  <tableColumns count="4">
    <tableColumn id="1" xr3:uid="{00000000-0010-0000-0300-000001000000}" name="Transaksi"/>
    <tableColumn id="2" xr3:uid="{00000000-0010-0000-0300-000002000000}" name="Jumlah Item" dataDxfId="8">
      <calculatedColumnFormula>SUMIFS(Table_1[Jumlah Pembelian],Table_1[kode transaksi],Table_4[[#This Row],[Transaksi]])</calculatedColumnFormula>
    </tableColumn>
    <tableColumn id="3" xr3:uid="{00000000-0010-0000-0300-000003000000}" name="Total Transaksi" dataDxfId="7">
      <calculatedColumnFormula>SUMIFS(Table_1[Revenue],Table_1[kode transaksi],Table_4[[#This Row],[Transaksi]])</calculatedColumnFormula>
    </tableColumn>
    <tableColumn id="4" xr3:uid="{00000000-0010-0000-0300-000004000000}" name="Diskon" dataDxfId="6">
      <calculatedColumnFormula>IF(AND(H6&gt;'Misi 5-1'!G4,G6&gt;5),"20%","-")</calculatedColumnFormula>
    </tableColumn>
  </tableColumns>
  <tableStyleInfo name="Soal 3-style 2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K5:N41">
  <tableColumns count="4">
    <tableColumn id="1" xr3:uid="{00000000-0010-0000-0400-000001000000}" name="Transaksi"/>
    <tableColumn id="2" xr3:uid="{00000000-0010-0000-0400-000002000000}" name="Jumlah Item" dataDxfId="5">
      <calculatedColumnFormula>SUMIFS(Table_1[Jumlah Pembelian],Table_1[kode transaksi],Table_5[[#This Row],[Transaksi]])</calculatedColumnFormula>
    </tableColumn>
    <tableColumn id="3" xr3:uid="{00000000-0010-0000-0400-000003000000}" name="Total Transaksi" dataDxfId="4">
      <calculatedColumnFormula>SUMIFS(Table_1[Revenue],Table_1[kode transaksi],Table_5[[#This Row],[Transaksi]])</calculatedColumnFormula>
    </tableColumn>
    <tableColumn id="4" xr3:uid="{00000000-0010-0000-0400-000004000000}" name="Diskon" dataDxfId="3">
      <calculatedColumnFormula>IF(AND(M6&gt;'Misi 5-1'!L4,L6&gt;5),"20%","-")</calculatedColumnFormula>
    </tableColumn>
  </tableColumns>
  <tableStyleInfo name="Soal 3-style 3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P5:S40">
  <tableColumns count="4">
    <tableColumn id="1" xr3:uid="{00000000-0010-0000-0500-000001000000}" name="Transaksi"/>
    <tableColumn id="2" xr3:uid="{00000000-0010-0000-0500-000002000000}" name="Jumlah Item" dataDxfId="2">
      <calculatedColumnFormula>SUMIFS(Table_1[Jumlah Pembelian],Table_1[kode transaksi],Table_6[[#This Row],[Transaksi]])</calculatedColumnFormula>
    </tableColumn>
    <tableColumn id="3" xr3:uid="{00000000-0010-0000-0500-000003000000}" name="Total Transaksi" dataDxfId="1">
      <calculatedColumnFormula>SUMIFS(Table_1[Revenue],Table_1[kode transaksi],Table_6[[#This Row],[Transaksi]])</calculatedColumnFormula>
    </tableColumn>
    <tableColumn id="4" xr3:uid="{00000000-0010-0000-0500-000004000000}" name="Diskon" dataDxfId="0">
      <calculatedColumnFormula>IF(AND(R6&gt;'Misi 5-1'!Q4,Q6&gt;5),"20%","-")</calculatedColumnFormula>
    </tableColumn>
  </tableColumns>
  <tableStyleInfo name="Soal 3-style 4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6"/>
  <sheetViews>
    <sheetView workbookViewId="0">
      <selection activeCell="G4" sqref="G4"/>
    </sheetView>
  </sheetViews>
  <sheetFormatPr defaultColWidth="14.453125" defaultRowHeight="15" customHeight="1" x14ac:dyDescent="0.35"/>
  <cols>
    <col min="1" max="1" width="17.90625" bestFit="1" customWidth="1"/>
    <col min="2" max="2" width="15.453125" bestFit="1" customWidth="1"/>
    <col min="3" max="3" width="17.453125" bestFit="1" customWidth="1"/>
    <col min="4" max="4" width="13.90625" bestFit="1" customWidth="1"/>
    <col min="5" max="5" width="18.36328125" bestFit="1" customWidth="1"/>
    <col min="6" max="6" width="9.26953125" bestFit="1" customWidth="1"/>
    <col min="7" max="7" width="16.7265625" bestFit="1" customWidth="1"/>
    <col min="8" max="8" width="9.26953125" style="18" bestFit="1" customWidth="1"/>
    <col min="9" max="9" width="11.54296875" style="18" bestFit="1" customWidth="1"/>
    <col min="10" max="26" width="8.7265625" customWidth="1"/>
  </cols>
  <sheetData>
    <row r="1" spans="1:9" ht="14.25" customHeight="1" x14ac:dyDescent="0.35">
      <c r="A1" s="3" t="s">
        <v>0</v>
      </c>
    </row>
    <row r="2" spans="1:9" ht="14.25" customHeight="1" x14ac:dyDescent="0.35"/>
    <row r="3" spans="1:9" ht="14.5" x14ac:dyDescent="0.35">
      <c r="A3" s="17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6</v>
      </c>
      <c r="G3" s="17" t="s">
        <v>7</v>
      </c>
      <c r="H3" s="19" t="s">
        <v>8</v>
      </c>
      <c r="I3" s="19" t="s">
        <v>9</v>
      </c>
    </row>
    <row r="4" spans="1:9" ht="14.5" x14ac:dyDescent="0.35">
      <c r="A4" s="16">
        <v>42736</v>
      </c>
      <c r="B4" t="s">
        <v>10</v>
      </c>
      <c r="C4">
        <v>1</v>
      </c>
      <c r="D4" t="s">
        <v>11</v>
      </c>
      <c r="E4">
        <v>3</v>
      </c>
      <c r="F4" t="s">
        <v>12</v>
      </c>
      <c r="G4" t="s">
        <v>13</v>
      </c>
      <c r="H4" s="18">
        <v>231000</v>
      </c>
      <c r="I4" s="18">
        <v>693000</v>
      </c>
    </row>
    <row r="5" spans="1:9" ht="14.5" x14ac:dyDescent="0.35">
      <c r="A5" s="16">
        <v>42736</v>
      </c>
      <c r="B5" t="s">
        <v>10</v>
      </c>
      <c r="C5">
        <v>2</v>
      </c>
      <c r="D5" t="s">
        <v>14</v>
      </c>
      <c r="E5">
        <v>3</v>
      </c>
      <c r="F5" t="s">
        <v>12</v>
      </c>
      <c r="G5" t="s">
        <v>15</v>
      </c>
      <c r="H5" s="18">
        <v>135000</v>
      </c>
      <c r="I5" s="18">
        <v>405000</v>
      </c>
    </row>
    <row r="6" spans="1:9" ht="14.5" x14ac:dyDescent="0.35">
      <c r="A6" s="16">
        <v>42736</v>
      </c>
      <c r="B6" t="s">
        <v>10</v>
      </c>
      <c r="C6">
        <v>3</v>
      </c>
      <c r="D6" t="s">
        <v>16</v>
      </c>
      <c r="E6">
        <v>2</v>
      </c>
      <c r="F6" t="s">
        <v>12</v>
      </c>
      <c r="G6" t="s">
        <v>17</v>
      </c>
      <c r="H6" s="18">
        <v>168000</v>
      </c>
      <c r="I6" s="18">
        <v>336000</v>
      </c>
    </row>
    <row r="7" spans="1:9" ht="14.5" x14ac:dyDescent="0.35">
      <c r="A7" s="16">
        <v>42736</v>
      </c>
      <c r="B7" t="s">
        <v>10</v>
      </c>
      <c r="C7">
        <v>4</v>
      </c>
      <c r="D7" t="s">
        <v>18</v>
      </c>
      <c r="E7">
        <v>2</v>
      </c>
      <c r="F7" t="s">
        <v>12</v>
      </c>
      <c r="G7" t="s">
        <v>19</v>
      </c>
      <c r="H7" s="18">
        <v>135000</v>
      </c>
      <c r="I7" s="18">
        <v>270000</v>
      </c>
    </row>
    <row r="8" spans="1:9" ht="14.5" x14ac:dyDescent="0.35">
      <c r="A8" s="16">
        <v>42736</v>
      </c>
      <c r="B8" t="s">
        <v>20</v>
      </c>
      <c r="C8">
        <v>1</v>
      </c>
      <c r="D8" t="s">
        <v>21</v>
      </c>
      <c r="E8">
        <v>2</v>
      </c>
      <c r="F8" t="s">
        <v>12</v>
      </c>
      <c r="G8" t="s">
        <v>13</v>
      </c>
      <c r="H8" s="18">
        <v>192000</v>
      </c>
      <c r="I8" s="18">
        <v>384000</v>
      </c>
    </row>
    <row r="9" spans="1:9" ht="14.5" x14ac:dyDescent="0.35">
      <c r="A9" s="16">
        <v>42736</v>
      </c>
      <c r="B9" t="s">
        <v>20</v>
      </c>
      <c r="C9">
        <v>2</v>
      </c>
      <c r="D9" t="s">
        <v>14</v>
      </c>
      <c r="E9">
        <v>1</v>
      </c>
      <c r="F9" t="s">
        <v>12</v>
      </c>
      <c r="G9" t="s">
        <v>15</v>
      </c>
      <c r="H9" s="18">
        <v>135000</v>
      </c>
      <c r="I9" s="18">
        <v>135000</v>
      </c>
    </row>
    <row r="10" spans="1:9" ht="14.5" x14ac:dyDescent="0.35">
      <c r="A10" s="16">
        <v>42736</v>
      </c>
      <c r="B10" t="s">
        <v>22</v>
      </c>
      <c r="C10">
        <v>1</v>
      </c>
      <c r="D10" t="s">
        <v>23</v>
      </c>
      <c r="E10">
        <v>1</v>
      </c>
      <c r="F10" t="s">
        <v>12</v>
      </c>
      <c r="G10" t="s">
        <v>17</v>
      </c>
      <c r="H10" s="18">
        <v>288000</v>
      </c>
      <c r="I10" s="18">
        <v>288000</v>
      </c>
    </row>
    <row r="11" spans="1:9" ht="14.5" x14ac:dyDescent="0.35">
      <c r="A11" s="16">
        <v>42736</v>
      </c>
      <c r="B11" t="s">
        <v>24</v>
      </c>
      <c r="C11">
        <v>1</v>
      </c>
      <c r="D11" t="s">
        <v>25</v>
      </c>
      <c r="E11">
        <v>1</v>
      </c>
      <c r="F11" t="s">
        <v>12</v>
      </c>
      <c r="G11" t="s">
        <v>19</v>
      </c>
      <c r="H11" s="18">
        <v>231000</v>
      </c>
      <c r="I11" s="18">
        <v>231000</v>
      </c>
    </row>
    <row r="12" spans="1:9" ht="14.5" x14ac:dyDescent="0.35">
      <c r="A12" s="16">
        <v>42736</v>
      </c>
      <c r="B12" t="s">
        <v>26</v>
      </c>
      <c r="C12">
        <v>1</v>
      </c>
      <c r="D12" t="s">
        <v>16</v>
      </c>
      <c r="E12">
        <v>1</v>
      </c>
      <c r="F12" t="s">
        <v>12</v>
      </c>
      <c r="G12" t="s">
        <v>17</v>
      </c>
      <c r="H12" s="18">
        <v>168000</v>
      </c>
      <c r="I12" s="18">
        <v>168000</v>
      </c>
    </row>
    <row r="13" spans="1:9" ht="14.5" x14ac:dyDescent="0.35">
      <c r="A13" s="16">
        <v>42736</v>
      </c>
      <c r="B13" t="s">
        <v>26</v>
      </c>
      <c r="C13">
        <v>2</v>
      </c>
      <c r="D13" t="s">
        <v>25</v>
      </c>
      <c r="E13">
        <v>1</v>
      </c>
      <c r="F13" t="s">
        <v>12</v>
      </c>
      <c r="G13" t="s">
        <v>19</v>
      </c>
      <c r="H13" s="18">
        <v>231000</v>
      </c>
      <c r="I13" s="18">
        <v>231000</v>
      </c>
    </row>
    <row r="14" spans="1:9" ht="14.5" x14ac:dyDescent="0.35">
      <c r="A14" s="16">
        <v>42736</v>
      </c>
      <c r="B14" t="s">
        <v>26</v>
      </c>
      <c r="C14">
        <v>3</v>
      </c>
      <c r="D14" t="s">
        <v>27</v>
      </c>
      <c r="E14">
        <v>1</v>
      </c>
      <c r="F14" t="s">
        <v>12</v>
      </c>
      <c r="G14" t="s">
        <v>17</v>
      </c>
      <c r="H14" s="18">
        <v>195000</v>
      </c>
      <c r="I14" s="18">
        <v>195000</v>
      </c>
    </row>
    <row r="15" spans="1:9" ht="14.5" x14ac:dyDescent="0.35">
      <c r="A15" s="16">
        <v>42736</v>
      </c>
      <c r="B15" t="s">
        <v>28</v>
      </c>
      <c r="C15">
        <v>1</v>
      </c>
      <c r="D15" t="s">
        <v>29</v>
      </c>
      <c r="E15">
        <v>3</v>
      </c>
      <c r="F15" t="s">
        <v>12</v>
      </c>
      <c r="G15" t="s">
        <v>17</v>
      </c>
      <c r="H15" s="18">
        <v>153000</v>
      </c>
      <c r="I15" s="18">
        <v>459000</v>
      </c>
    </row>
    <row r="16" spans="1:9" ht="14.5" x14ac:dyDescent="0.35">
      <c r="A16" s="16">
        <v>42736</v>
      </c>
      <c r="B16" t="s">
        <v>28</v>
      </c>
      <c r="C16">
        <v>2</v>
      </c>
      <c r="D16" t="s">
        <v>14</v>
      </c>
      <c r="E16">
        <v>3</v>
      </c>
      <c r="F16" t="s">
        <v>12</v>
      </c>
      <c r="G16" t="s">
        <v>15</v>
      </c>
      <c r="H16" s="18">
        <v>135000</v>
      </c>
      <c r="I16" s="18">
        <v>405000</v>
      </c>
    </row>
    <row r="17" spans="1:9" ht="14.5" x14ac:dyDescent="0.35">
      <c r="A17" s="16">
        <v>42736</v>
      </c>
      <c r="B17" t="s">
        <v>30</v>
      </c>
      <c r="C17">
        <v>1</v>
      </c>
      <c r="D17" t="s">
        <v>31</v>
      </c>
      <c r="E17">
        <v>3</v>
      </c>
      <c r="F17" t="s">
        <v>12</v>
      </c>
      <c r="G17" t="s">
        <v>32</v>
      </c>
      <c r="H17" s="18">
        <v>597000</v>
      </c>
      <c r="I17" s="18">
        <v>1791000</v>
      </c>
    </row>
    <row r="18" spans="1:9" ht="14.5" x14ac:dyDescent="0.35">
      <c r="A18" s="16">
        <v>42736</v>
      </c>
      <c r="B18" t="s">
        <v>30</v>
      </c>
      <c r="C18">
        <v>2</v>
      </c>
      <c r="D18" t="s">
        <v>29</v>
      </c>
      <c r="E18">
        <v>2</v>
      </c>
      <c r="F18" t="s">
        <v>12</v>
      </c>
      <c r="G18" t="s">
        <v>17</v>
      </c>
      <c r="H18" s="18">
        <v>153000</v>
      </c>
      <c r="I18" s="18">
        <v>306000</v>
      </c>
    </row>
    <row r="19" spans="1:9" ht="14.5" x14ac:dyDescent="0.35">
      <c r="A19" s="16">
        <v>42736</v>
      </c>
      <c r="B19" t="s">
        <v>33</v>
      </c>
      <c r="C19">
        <v>1</v>
      </c>
      <c r="D19" t="s">
        <v>31</v>
      </c>
      <c r="E19">
        <v>2</v>
      </c>
      <c r="F19" t="s">
        <v>12</v>
      </c>
      <c r="G19" t="s">
        <v>32</v>
      </c>
      <c r="H19" s="18">
        <v>597000</v>
      </c>
      <c r="I19" s="18">
        <v>1194000</v>
      </c>
    </row>
    <row r="20" spans="1:9" ht="14.5" x14ac:dyDescent="0.35">
      <c r="A20" s="16">
        <v>42736</v>
      </c>
      <c r="B20" t="s">
        <v>33</v>
      </c>
      <c r="C20">
        <v>2</v>
      </c>
      <c r="D20" t="s">
        <v>34</v>
      </c>
      <c r="E20">
        <v>2</v>
      </c>
      <c r="F20" t="s">
        <v>12</v>
      </c>
      <c r="G20" t="s">
        <v>13</v>
      </c>
      <c r="H20" s="18">
        <v>801000</v>
      </c>
      <c r="I20" s="18">
        <v>1602000</v>
      </c>
    </row>
    <row r="21" spans="1:9" ht="14.5" x14ac:dyDescent="0.35">
      <c r="A21" s="16">
        <v>42736</v>
      </c>
      <c r="B21" t="s">
        <v>33</v>
      </c>
      <c r="C21">
        <v>3</v>
      </c>
      <c r="D21" t="s">
        <v>35</v>
      </c>
      <c r="E21">
        <v>3</v>
      </c>
      <c r="F21" t="s">
        <v>12</v>
      </c>
      <c r="G21" t="s">
        <v>15</v>
      </c>
      <c r="H21" s="18">
        <v>21000</v>
      </c>
      <c r="I21" s="18">
        <v>63000</v>
      </c>
    </row>
    <row r="22" spans="1:9" ht="14.5" x14ac:dyDescent="0.35">
      <c r="A22" s="16">
        <v>42736</v>
      </c>
      <c r="B22" t="s">
        <v>36</v>
      </c>
      <c r="C22">
        <v>1</v>
      </c>
      <c r="D22" t="s">
        <v>23</v>
      </c>
      <c r="E22">
        <v>3</v>
      </c>
      <c r="F22" t="s">
        <v>12</v>
      </c>
      <c r="G22" t="s">
        <v>17</v>
      </c>
      <c r="H22" s="18">
        <v>288000</v>
      </c>
      <c r="I22" s="18">
        <v>864000</v>
      </c>
    </row>
    <row r="23" spans="1:9" ht="14.5" x14ac:dyDescent="0.35">
      <c r="A23" s="16">
        <v>42736</v>
      </c>
      <c r="B23" t="s">
        <v>36</v>
      </c>
      <c r="C23">
        <v>2</v>
      </c>
      <c r="D23" t="s">
        <v>37</v>
      </c>
      <c r="E23">
        <v>1</v>
      </c>
      <c r="F23" t="s">
        <v>12</v>
      </c>
      <c r="G23" t="s">
        <v>19</v>
      </c>
      <c r="H23" s="18">
        <v>195000</v>
      </c>
      <c r="I23" s="18">
        <v>195000</v>
      </c>
    </row>
    <row r="24" spans="1:9" ht="14.5" x14ac:dyDescent="0.35">
      <c r="A24" s="16">
        <v>42736</v>
      </c>
      <c r="B24" t="s">
        <v>38</v>
      </c>
      <c r="C24">
        <v>1</v>
      </c>
      <c r="D24" t="s">
        <v>39</v>
      </c>
      <c r="E24">
        <v>3</v>
      </c>
      <c r="F24" t="s">
        <v>12</v>
      </c>
      <c r="G24" t="s">
        <v>15</v>
      </c>
      <c r="H24" s="18">
        <v>75000</v>
      </c>
      <c r="I24" s="18">
        <v>225000</v>
      </c>
    </row>
    <row r="25" spans="1:9" ht="14.5" x14ac:dyDescent="0.35">
      <c r="A25" s="16">
        <v>42736</v>
      </c>
      <c r="B25" t="s">
        <v>40</v>
      </c>
      <c r="C25">
        <v>1</v>
      </c>
      <c r="D25" t="s">
        <v>21</v>
      </c>
      <c r="E25">
        <v>2</v>
      </c>
      <c r="F25" t="s">
        <v>12</v>
      </c>
      <c r="G25" t="s">
        <v>13</v>
      </c>
      <c r="H25" s="18">
        <v>192000</v>
      </c>
      <c r="I25" s="18">
        <v>384000</v>
      </c>
    </row>
    <row r="26" spans="1:9" ht="14.5" x14ac:dyDescent="0.35">
      <c r="A26" s="16">
        <v>42736</v>
      </c>
      <c r="B26" t="s">
        <v>40</v>
      </c>
      <c r="C26">
        <v>2</v>
      </c>
      <c r="D26" t="s">
        <v>31</v>
      </c>
      <c r="E26">
        <v>2</v>
      </c>
      <c r="F26" t="s">
        <v>12</v>
      </c>
      <c r="G26" t="s">
        <v>32</v>
      </c>
      <c r="H26" s="18">
        <v>597000</v>
      </c>
      <c r="I26" s="18">
        <v>1194000</v>
      </c>
    </row>
    <row r="27" spans="1:9" ht="14.5" x14ac:dyDescent="0.35">
      <c r="A27" s="16">
        <v>42736</v>
      </c>
      <c r="B27" t="s">
        <v>40</v>
      </c>
      <c r="C27">
        <v>3</v>
      </c>
      <c r="D27" t="s">
        <v>34</v>
      </c>
      <c r="E27">
        <v>2</v>
      </c>
      <c r="F27" t="s">
        <v>12</v>
      </c>
      <c r="G27" t="s">
        <v>13</v>
      </c>
      <c r="H27" s="18">
        <v>801000</v>
      </c>
      <c r="I27" s="18">
        <v>1602000</v>
      </c>
    </row>
    <row r="28" spans="1:9" ht="14.5" x14ac:dyDescent="0.35">
      <c r="A28" s="16">
        <v>42736</v>
      </c>
      <c r="B28" t="s">
        <v>40</v>
      </c>
      <c r="C28">
        <v>4</v>
      </c>
      <c r="D28" t="s">
        <v>37</v>
      </c>
      <c r="E28">
        <v>3</v>
      </c>
      <c r="F28" t="s">
        <v>12</v>
      </c>
      <c r="G28" t="s">
        <v>19</v>
      </c>
      <c r="H28" s="18">
        <v>195000</v>
      </c>
      <c r="I28" s="18">
        <v>585000</v>
      </c>
    </row>
    <row r="29" spans="1:9" ht="14.5" x14ac:dyDescent="0.35">
      <c r="A29" s="16">
        <v>42736</v>
      </c>
      <c r="B29" t="s">
        <v>41</v>
      </c>
      <c r="C29">
        <v>1</v>
      </c>
      <c r="D29" t="s">
        <v>16</v>
      </c>
      <c r="E29">
        <v>3</v>
      </c>
      <c r="F29" t="s">
        <v>12</v>
      </c>
      <c r="G29" t="s">
        <v>17</v>
      </c>
      <c r="H29" s="18">
        <v>168000</v>
      </c>
      <c r="I29" s="18">
        <v>504000</v>
      </c>
    </row>
    <row r="30" spans="1:9" ht="14.5" x14ac:dyDescent="0.35">
      <c r="A30" s="16">
        <v>42736</v>
      </c>
      <c r="B30" t="s">
        <v>41</v>
      </c>
      <c r="C30">
        <v>2</v>
      </c>
      <c r="D30" t="s">
        <v>42</v>
      </c>
      <c r="E30">
        <v>2</v>
      </c>
      <c r="F30" t="s">
        <v>12</v>
      </c>
      <c r="G30" t="s">
        <v>19</v>
      </c>
      <c r="H30" s="18">
        <v>141000</v>
      </c>
      <c r="I30" s="18">
        <v>282000</v>
      </c>
    </row>
    <row r="31" spans="1:9" ht="14.5" x14ac:dyDescent="0.35">
      <c r="A31" s="16">
        <v>42736</v>
      </c>
      <c r="B31" t="s">
        <v>43</v>
      </c>
      <c r="C31">
        <v>1</v>
      </c>
      <c r="D31" t="s">
        <v>25</v>
      </c>
      <c r="E31">
        <v>1</v>
      </c>
      <c r="F31" t="s">
        <v>12</v>
      </c>
      <c r="G31" t="s">
        <v>19</v>
      </c>
      <c r="H31" s="18">
        <v>231000</v>
      </c>
      <c r="I31" s="18">
        <v>231000</v>
      </c>
    </row>
    <row r="32" spans="1:9" ht="14.5" x14ac:dyDescent="0.35">
      <c r="A32" s="16">
        <v>42736</v>
      </c>
      <c r="B32" t="s">
        <v>43</v>
      </c>
      <c r="C32">
        <v>2</v>
      </c>
      <c r="D32" t="s">
        <v>39</v>
      </c>
      <c r="E32">
        <v>3</v>
      </c>
      <c r="F32" t="s">
        <v>12</v>
      </c>
      <c r="G32" t="s">
        <v>15</v>
      </c>
      <c r="H32" s="18">
        <v>75000</v>
      </c>
      <c r="I32" s="18">
        <v>225000</v>
      </c>
    </row>
    <row r="33" spans="1:9" ht="14.5" x14ac:dyDescent="0.35">
      <c r="A33" s="16">
        <v>42736</v>
      </c>
      <c r="B33" t="s">
        <v>44</v>
      </c>
      <c r="C33">
        <v>1</v>
      </c>
      <c r="D33" t="s">
        <v>45</v>
      </c>
      <c r="E33">
        <v>3</v>
      </c>
      <c r="F33" t="s">
        <v>12</v>
      </c>
      <c r="G33" t="s">
        <v>32</v>
      </c>
      <c r="H33" s="18">
        <v>234000</v>
      </c>
      <c r="I33" s="18">
        <v>702000</v>
      </c>
    </row>
    <row r="34" spans="1:9" ht="14.5" x14ac:dyDescent="0.35">
      <c r="A34" s="16">
        <v>42736</v>
      </c>
      <c r="B34" t="s">
        <v>44</v>
      </c>
      <c r="C34">
        <v>2</v>
      </c>
      <c r="D34" t="s">
        <v>46</v>
      </c>
      <c r="E34">
        <v>3</v>
      </c>
      <c r="F34" t="s">
        <v>12</v>
      </c>
      <c r="G34" t="s">
        <v>15</v>
      </c>
      <c r="H34" s="18">
        <v>105000</v>
      </c>
      <c r="I34" s="18">
        <v>315000</v>
      </c>
    </row>
    <row r="35" spans="1:9" ht="14.5" x14ac:dyDescent="0.35">
      <c r="A35" s="16">
        <v>42736</v>
      </c>
      <c r="B35" t="s">
        <v>44</v>
      </c>
      <c r="C35">
        <v>3</v>
      </c>
      <c r="D35" t="s">
        <v>37</v>
      </c>
      <c r="E35">
        <v>1</v>
      </c>
      <c r="F35" t="s">
        <v>12</v>
      </c>
      <c r="G35" t="s">
        <v>19</v>
      </c>
      <c r="H35" s="18">
        <v>195000</v>
      </c>
      <c r="I35" s="18">
        <v>195000</v>
      </c>
    </row>
    <row r="36" spans="1:9" ht="14.5" x14ac:dyDescent="0.35">
      <c r="A36" s="16">
        <v>42736</v>
      </c>
      <c r="B36" t="s">
        <v>47</v>
      </c>
      <c r="C36">
        <v>1</v>
      </c>
      <c r="D36" t="s">
        <v>48</v>
      </c>
      <c r="E36">
        <v>3</v>
      </c>
      <c r="F36" t="s">
        <v>12</v>
      </c>
      <c r="G36" t="s">
        <v>13</v>
      </c>
      <c r="H36" s="18">
        <v>165000</v>
      </c>
      <c r="I36" s="18">
        <v>495000</v>
      </c>
    </row>
    <row r="37" spans="1:9" ht="14.5" x14ac:dyDescent="0.35">
      <c r="A37" s="16">
        <v>42736</v>
      </c>
      <c r="B37" t="s">
        <v>47</v>
      </c>
      <c r="C37">
        <v>2</v>
      </c>
      <c r="D37" t="s">
        <v>49</v>
      </c>
      <c r="E37">
        <v>1</v>
      </c>
      <c r="F37" t="s">
        <v>12</v>
      </c>
      <c r="G37" t="s">
        <v>15</v>
      </c>
      <c r="H37" s="18">
        <v>246000</v>
      </c>
      <c r="I37" s="18">
        <v>246000</v>
      </c>
    </row>
    <row r="38" spans="1:9" ht="14.5" x14ac:dyDescent="0.35">
      <c r="A38" s="16">
        <v>42736</v>
      </c>
      <c r="B38" t="s">
        <v>50</v>
      </c>
      <c r="C38">
        <v>1</v>
      </c>
      <c r="D38" t="s">
        <v>11</v>
      </c>
      <c r="E38">
        <v>1</v>
      </c>
      <c r="F38" t="s">
        <v>12</v>
      </c>
      <c r="G38" t="s">
        <v>13</v>
      </c>
      <c r="H38" s="18">
        <v>231000</v>
      </c>
      <c r="I38" s="18">
        <v>231000</v>
      </c>
    </row>
    <row r="39" spans="1:9" ht="14.5" x14ac:dyDescent="0.35">
      <c r="A39" s="16">
        <v>42736</v>
      </c>
      <c r="B39" t="s">
        <v>51</v>
      </c>
      <c r="C39">
        <v>1</v>
      </c>
      <c r="D39" t="s">
        <v>23</v>
      </c>
      <c r="E39">
        <v>1</v>
      </c>
      <c r="F39" t="s">
        <v>12</v>
      </c>
      <c r="G39" t="s">
        <v>17</v>
      </c>
      <c r="H39" s="18">
        <v>288000</v>
      </c>
      <c r="I39" s="18">
        <v>288000</v>
      </c>
    </row>
    <row r="40" spans="1:9" ht="14.5" x14ac:dyDescent="0.35">
      <c r="A40" s="16">
        <v>42736</v>
      </c>
      <c r="B40" t="s">
        <v>51</v>
      </c>
      <c r="C40">
        <v>2</v>
      </c>
      <c r="D40" t="s">
        <v>31</v>
      </c>
      <c r="E40">
        <v>1</v>
      </c>
      <c r="F40" t="s">
        <v>12</v>
      </c>
      <c r="G40" t="s">
        <v>32</v>
      </c>
      <c r="H40" s="18">
        <v>597000</v>
      </c>
      <c r="I40" s="18">
        <v>597000</v>
      </c>
    </row>
    <row r="41" spans="1:9" ht="14.5" x14ac:dyDescent="0.35">
      <c r="A41" s="16">
        <v>42736</v>
      </c>
      <c r="B41" t="s">
        <v>52</v>
      </c>
      <c r="C41">
        <v>1</v>
      </c>
      <c r="D41" t="s">
        <v>53</v>
      </c>
      <c r="E41">
        <v>3</v>
      </c>
      <c r="F41" t="s">
        <v>12</v>
      </c>
      <c r="G41" t="s">
        <v>17</v>
      </c>
      <c r="H41" s="18">
        <v>402000</v>
      </c>
      <c r="I41" s="18">
        <v>1206000</v>
      </c>
    </row>
    <row r="42" spans="1:9" ht="14.5" x14ac:dyDescent="0.35">
      <c r="A42" s="16">
        <v>42736</v>
      </c>
      <c r="B42" t="s">
        <v>52</v>
      </c>
      <c r="C42">
        <v>2</v>
      </c>
      <c r="D42" t="s">
        <v>45</v>
      </c>
      <c r="E42">
        <v>3</v>
      </c>
      <c r="F42" t="s">
        <v>12</v>
      </c>
      <c r="G42" t="s">
        <v>32</v>
      </c>
      <c r="H42" s="18">
        <v>234000</v>
      </c>
      <c r="I42" s="18">
        <v>702000</v>
      </c>
    </row>
    <row r="43" spans="1:9" ht="14.5" x14ac:dyDescent="0.35">
      <c r="A43" s="16">
        <v>42736</v>
      </c>
      <c r="B43" t="s">
        <v>52</v>
      </c>
      <c r="C43">
        <v>3</v>
      </c>
      <c r="D43" t="s">
        <v>14</v>
      </c>
      <c r="E43">
        <v>3</v>
      </c>
      <c r="F43" t="s">
        <v>12</v>
      </c>
      <c r="G43" t="s">
        <v>15</v>
      </c>
      <c r="H43" s="18">
        <v>135000</v>
      </c>
      <c r="I43" s="18">
        <v>405000</v>
      </c>
    </row>
    <row r="44" spans="1:9" ht="14.5" x14ac:dyDescent="0.35">
      <c r="A44" s="16">
        <v>42736</v>
      </c>
      <c r="B44" t="s">
        <v>52</v>
      </c>
      <c r="C44">
        <v>4</v>
      </c>
      <c r="D44" t="s">
        <v>54</v>
      </c>
      <c r="E44">
        <v>1</v>
      </c>
      <c r="F44" t="s">
        <v>12</v>
      </c>
      <c r="G44" t="s">
        <v>32</v>
      </c>
      <c r="H44" s="18">
        <v>267000</v>
      </c>
      <c r="I44" s="18">
        <v>267000</v>
      </c>
    </row>
    <row r="45" spans="1:9" ht="14.5" x14ac:dyDescent="0.35">
      <c r="A45" s="16">
        <v>42736</v>
      </c>
      <c r="B45" t="s">
        <v>55</v>
      </c>
      <c r="C45">
        <v>1</v>
      </c>
      <c r="D45" t="s">
        <v>16</v>
      </c>
      <c r="E45">
        <v>1</v>
      </c>
      <c r="F45" t="s">
        <v>12</v>
      </c>
      <c r="G45" t="s">
        <v>17</v>
      </c>
      <c r="H45" s="18">
        <v>168000</v>
      </c>
      <c r="I45" s="18">
        <v>168000</v>
      </c>
    </row>
    <row r="46" spans="1:9" ht="14.5" x14ac:dyDescent="0.35">
      <c r="A46" s="16">
        <v>42736</v>
      </c>
      <c r="B46" t="s">
        <v>55</v>
      </c>
      <c r="C46">
        <v>2</v>
      </c>
      <c r="D46" t="s">
        <v>21</v>
      </c>
      <c r="E46">
        <v>2</v>
      </c>
      <c r="F46" t="s">
        <v>12</v>
      </c>
      <c r="G46" t="s">
        <v>13</v>
      </c>
      <c r="H46" s="18">
        <v>192000</v>
      </c>
      <c r="I46" s="18">
        <v>384000</v>
      </c>
    </row>
    <row r="47" spans="1:9" ht="14.5" x14ac:dyDescent="0.35">
      <c r="A47" s="16">
        <v>42736</v>
      </c>
      <c r="B47" t="s">
        <v>55</v>
      </c>
      <c r="C47">
        <v>3</v>
      </c>
      <c r="D47" t="s">
        <v>34</v>
      </c>
      <c r="E47">
        <v>2</v>
      </c>
      <c r="F47" t="s">
        <v>12</v>
      </c>
      <c r="G47" t="s">
        <v>13</v>
      </c>
      <c r="H47" s="18">
        <v>801000</v>
      </c>
      <c r="I47" s="18">
        <v>1602000</v>
      </c>
    </row>
    <row r="48" spans="1:9" ht="14.5" x14ac:dyDescent="0.35">
      <c r="A48" s="16">
        <v>42736</v>
      </c>
      <c r="B48" t="s">
        <v>56</v>
      </c>
      <c r="C48">
        <v>1</v>
      </c>
      <c r="D48" t="s">
        <v>39</v>
      </c>
      <c r="E48">
        <v>3</v>
      </c>
      <c r="F48" t="s">
        <v>12</v>
      </c>
      <c r="G48" t="s">
        <v>15</v>
      </c>
      <c r="H48" s="18">
        <v>75000</v>
      </c>
      <c r="I48" s="18">
        <v>225000</v>
      </c>
    </row>
    <row r="49" spans="1:9" ht="14.5" x14ac:dyDescent="0.35">
      <c r="A49" s="16">
        <v>42736</v>
      </c>
      <c r="B49" t="s">
        <v>56</v>
      </c>
      <c r="C49">
        <v>2</v>
      </c>
      <c r="D49" t="s">
        <v>49</v>
      </c>
      <c r="E49">
        <v>1</v>
      </c>
      <c r="F49" t="s">
        <v>12</v>
      </c>
      <c r="G49" t="s">
        <v>15</v>
      </c>
      <c r="H49" s="18">
        <v>246000</v>
      </c>
      <c r="I49" s="18">
        <v>246000</v>
      </c>
    </row>
    <row r="50" spans="1:9" ht="14.5" x14ac:dyDescent="0.35">
      <c r="A50" s="16">
        <v>42736</v>
      </c>
      <c r="B50" t="s">
        <v>57</v>
      </c>
      <c r="C50">
        <v>1</v>
      </c>
      <c r="D50" t="s">
        <v>18</v>
      </c>
      <c r="E50">
        <v>3</v>
      </c>
      <c r="F50" t="s">
        <v>12</v>
      </c>
      <c r="G50" t="s">
        <v>19</v>
      </c>
      <c r="H50" s="18">
        <v>135000</v>
      </c>
      <c r="I50" s="18">
        <v>405000</v>
      </c>
    </row>
    <row r="51" spans="1:9" ht="14.5" x14ac:dyDescent="0.35">
      <c r="A51" s="16">
        <v>42736</v>
      </c>
      <c r="B51" t="s">
        <v>57</v>
      </c>
      <c r="C51">
        <v>2</v>
      </c>
      <c r="D51" t="s">
        <v>16</v>
      </c>
      <c r="E51">
        <v>3</v>
      </c>
      <c r="F51" t="s">
        <v>12</v>
      </c>
      <c r="G51" t="s">
        <v>17</v>
      </c>
      <c r="H51" s="18">
        <v>168000</v>
      </c>
      <c r="I51" s="18">
        <v>504000</v>
      </c>
    </row>
    <row r="52" spans="1:9" ht="14.5" x14ac:dyDescent="0.35">
      <c r="A52" s="16">
        <v>42736</v>
      </c>
      <c r="B52" t="s">
        <v>57</v>
      </c>
      <c r="C52">
        <v>3</v>
      </c>
      <c r="D52" t="s">
        <v>35</v>
      </c>
      <c r="E52">
        <v>3</v>
      </c>
      <c r="F52" t="s">
        <v>12</v>
      </c>
      <c r="G52" t="s">
        <v>15</v>
      </c>
      <c r="H52" s="18">
        <v>21000</v>
      </c>
      <c r="I52" s="18">
        <v>63000</v>
      </c>
    </row>
    <row r="53" spans="1:9" ht="14.5" x14ac:dyDescent="0.35">
      <c r="A53" s="16">
        <v>42736</v>
      </c>
      <c r="B53" t="s">
        <v>57</v>
      </c>
      <c r="C53">
        <v>4</v>
      </c>
      <c r="D53" t="s">
        <v>31</v>
      </c>
      <c r="E53">
        <v>1</v>
      </c>
      <c r="F53" t="s">
        <v>12</v>
      </c>
      <c r="G53" t="s">
        <v>32</v>
      </c>
      <c r="H53" s="18">
        <v>597000</v>
      </c>
      <c r="I53" s="18">
        <v>597000</v>
      </c>
    </row>
    <row r="54" spans="1:9" ht="14.5" x14ac:dyDescent="0.35">
      <c r="A54" s="16">
        <v>42736</v>
      </c>
      <c r="B54" t="s">
        <v>58</v>
      </c>
      <c r="C54">
        <v>1</v>
      </c>
      <c r="D54" t="s">
        <v>59</v>
      </c>
      <c r="E54">
        <v>2</v>
      </c>
      <c r="F54" t="s">
        <v>12</v>
      </c>
      <c r="G54" t="s">
        <v>13</v>
      </c>
      <c r="H54" s="18">
        <v>249000</v>
      </c>
      <c r="I54" s="18">
        <v>498000</v>
      </c>
    </row>
    <row r="55" spans="1:9" ht="14.5" x14ac:dyDescent="0.35">
      <c r="A55" s="16">
        <v>42736</v>
      </c>
      <c r="B55" t="s">
        <v>58</v>
      </c>
      <c r="C55">
        <v>2</v>
      </c>
      <c r="D55" t="s">
        <v>35</v>
      </c>
      <c r="E55">
        <v>3</v>
      </c>
      <c r="F55" t="s">
        <v>12</v>
      </c>
      <c r="G55" t="s">
        <v>15</v>
      </c>
      <c r="H55" s="18">
        <v>21000</v>
      </c>
      <c r="I55" s="18">
        <v>63000</v>
      </c>
    </row>
    <row r="56" spans="1:9" ht="14.5" x14ac:dyDescent="0.35">
      <c r="A56" s="16">
        <v>42736</v>
      </c>
      <c r="B56" t="s">
        <v>58</v>
      </c>
      <c r="C56">
        <v>3</v>
      </c>
      <c r="D56" t="s">
        <v>59</v>
      </c>
      <c r="E56">
        <v>1</v>
      </c>
      <c r="F56" t="s">
        <v>12</v>
      </c>
      <c r="G56" t="s">
        <v>13</v>
      </c>
      <c r="H56" s="18">
        <v>249000</v>
      </c>
      <c r="I56" s="18">
        <v>249000</v>
      </c>
    </row>
    <row r="57" spans="1:9" ht="14.5" x14ac:dyDescent="0.35">
      <c r="A57" s="16">
        <v>42736</v>
      </c>
      <c r="B57" t="s">
        <v>60</v>
      </c>
      <c r="C57">
        <v>1</v>
      </c>
      <c r="D57" t="s">
        <v>23</v>
      </c>
      <c r="E57">
        <v>2</v>
      </c>
      <c r="F57" t="s">
        <v>12</v>
      </c>
      <c r="G57" t="s">
        <v>17</v>
      </c>
      <c r="H57" s="18">
        <v>288000</v>
      </c>
      <c r="I57" s="18">
        <v>576000</v>
      </c>
    </row>
    <row r="58" spans="1:9" ht="14.5" x14ac:dyDescent="0.35">
      <c r="A58" s="16">
        <v>42736</v>
      </c>
      <c r="B58" t="s">
        <v>60</v>
      </c>
      <c r="C58">
        <v>2</v>
      </c>
      <c r="D58" t="s">
        <v>21</v>
      </c>
      <c r="E58">
        <v>1</v>
      </c>
      <c r="F58" t="s">
        <v>12</v>
      </c>
      <c r="G58" t="s">
        <v>13</v>
      </c>
      <c r="H58" s="18">
        <v>192000</v>
      </c>
      <c r="I58" s="18">
        <v>192000</v>
      </c>
    </row>
    <row r="59" spans="1:9" ht="14.5" x14ac:dyDescent="0.35">
      <c r="A59" s="16">
        <v>42736</v>
      </c>
      <c r="B59" t="s">
        <v>61</v>
      </c>
      <c r="C59">
        <v>1</v>
      </c>
      <c r="D59" t="s">
        <v>18</v>
      </c>
      <c r="E59">
        <v>3</v>
      </c>
      <c r="F59" t="s">
        <v>12</v>
      </c>
      <c r="G59" t="s">
        <v>19</v>
      </c>
      <c r="H59" s="18">
        <v>135000</v>
      </c>
      <c r="I59" s="18">
        <v>405000</v>
      </c>
    </row>
    <row r="60" spans="1:9" ht="14.5" x14ac:dyDescent="0.35">
      <c r="A60" s="16">
        <v>42736</v>
      </c>
      <c r="B60" t="s">
        <v>61</v>
      </c>
      <c r="C60">
        <v>2</v>
      </c>
      <c r="D60" t="s">
        <v>34</v>
      </c>
      <c r="E60">
        <v>3</v>
      </c>
      <c r="F60" t="s">
        <v>12</v>
      </c>
      <c r="G60" t="s">
        <v>13</v>
      </c>
      <c r="H60" s="18">
        <v>801000</v>
      </c>
      <c r="I60" s="18">
        <v>2403000</v>
      </c>
    </row>
    <row r="61" spans="1:9" ht="14.5" x14ac:dyDescent="0.35">
      <c r="A61" s="16">
        <v>42736</v>
      </c>
      <c r="B61" t="s">
        <v>61</v>
      </c>
      <c r="C61">
        <v>3</v>
      </c>
      <c r="D61" t="s">
        <v>21</v>
      </c>
      <c r="E61">
        <v>1</v>
      </c>
      <c r="F61" t="s">
        <v>12</v>
      </c>
      <c r="G61" t="s">
        <v>13</v>
      </c>
      <c r="H61" s="18">
        <v>192000</v>
      </c>
      <c r="I61" s="18">
        <v>192000</v>
      </c>
    </row>
    <row r="62" spans="1:9" ht="14.5" x14ac:dyDescent="0.35">
      <c r="A62" s="16">
        <v>42736</v>
      </c>
      <c r="B62" t="s">
        <v>62</v>
      </c>
      <c r="C62">
        <v>1</v>
      </c>
      <c r="D62" t="s">
        <v>63</v>
      </c>
      <c r="E62">
        <v>1</v>
      </c>
      <c r="F62" t="s">
        <v>12</v>
      </c>
      <c r="G62" t="s">
        <v>19</v>
      </c>
      <c r="H62" s="18">
        <v>132000</v>
      </c>
      <c r="I62" s="18">
        <v>132000</v>
      </c>
    </row>
    <row r="63" spans="1:9" ht="14.5" x14ac:dyDescent="0.35">
      <c r="A63" s="16">
        <v>42736</v>
      </c>
      <c r="B63" t="s">
        <v>62</v>
      </c>
      <c r="C63">
        <v>2</v>
      </c>
      <c r="D63" t="s">
        <v>21</v>
      </c>
      <c r="E63">
        <v>1</v>
      </c>
      <c r="F63" t="s">
        <v>12</v>
      </c>
      <c r="G63" t="s">
        <v>13</v>
      </c>
      <c r="H63" s="18">
        <v>192000</v>
      </c>
      <c r="I63" s="18">
        <v>192000</v>
      </c>
    </row>
    <row r="64" spans="1:9" ht="14.5" x14ac:dyDescent="0.35">
      <c r="A64" s="16">
        <v>42736</v>
      </c>
      <c r="B64" t="s">
        <v>62</v>
      </c>
      <c r="C64">
        <v>3</v>
      </c>
      <c r="D64" t="s">
        <v>46</v>
      </c>
      <c r="E64">
        <v>2</v>
      </c>
      <c r="F64" t="s">
        <v>12</v>
      </c>
      <c r="G64" t="s">
        <v>15</v>
      </c>
      <c r="H64" s="18">
        <v>105000</v>
      </c>
      <c r="I64" s="18">
        <v>210000</v>
      </c>
    </row>
    <row r="65" spans="1:9" ht="14.5" x14ac:dyDescent="0.35">
      <c r="A65" s="16">
        <v>42736</v>
      </c>
      <c r="B65" t="s">
        <v>62</v>
      </c>
      <c r="C65">
        <v>4</v>
      </c>
      <c r="D65" t="s">
        <v>14</v>
      </c>
      <c r="E65">
        <v>2</v>
      </c>
      <c r="F65" t="s">
        <v>12</v>
      </c>
      <c r="G65" t="s">
        <v>15</v>
      </c>
      <c r="H65" s="18">
        <v>135000</v>
      </c>
      <c r="I65" s="18">
        <v>270000</v>
      </c>
    </row>
    <row r="66" spans="1:9" ht="14.5" x14ac:dyDescent="0.35">
      <c r="A66" s="16">
        <v>42736</v>
      </c>
      <c r="B66" t="s">
        <v>64</v>
      </c>
      <c r="C66">
        <v>1</v>
      </c>
      <c r="D66" t="s">
        <v>49</v>
      </c>
      <c r="E66">
        <v>2</v>
      </c>
      <c r="F66" t="s">
        <v>12</v>
      </c>
      <c r="G66" t="s">
        <v>15</v>
      </c>
      <c r="H66" s="18">
        <v>246000</v>
      </c>
      <c r="I66" s="18">
        <v>492000</v>
      </c>
    </row>
    <row r="67" spans="1:9" ht="14.5" x14ac:dyDescent="0.35">
      <c r="A67" s="16">
        <v>42736</v>
      </c>
      <c r="B67" t="s">
        <v>64</v>
      </c>
      <c r="C67">
        <v>2</v>
      </c>
      <c r="D67" t="s">
        <v>14</v>
      </c>
      <c r="E67">
        <v>3</v>
      </c>
      <c r="F67" t="s">
        <v>12</v>
      </c>
      <c r="G67" t="s">
        <v>15</v>
      </c>
      <c r="H67" s="18">
        <v>135000</v>
      </c>
      <c r="I67" s="18">
        <v>405000</v>
      </c>
    </row>
    <row r="68" spans="1:9" ht="14.5" x14ac:dyDescent="0.35">
      <c r="A68" s="16">
        <v>42736</v>
      </c>
      <c r="B68" t="s">
        <v>65</v>
      </c>
      <c r="C68">
        <v>1</v>
      </c>
      <c r="D68" t="s">
        <v>49</v>
      </c>
      <c r="E68">
        <v>1</v>
      </c>
      <c r="F68" t="s">
        <v>12</v>
      </c>
      <c r="G68" t="s">
        <v>15</v>
      </c>
      <c r="H68" s="18">
        <v>246000</v>
      </c>
      <c r="I68" s="18">
        <v>246000</v>
      </c>
    </row>
    <row r="69" spans="1:9" ht="14.5" x14ac:dyDescent="0.35">
      <c r="A69" s="16">
        <v>42736</v>
      </c>
      <c r="B69" t="s">
        <v>65</v>
      </c>
      <c r="C69">
        <v>2</v>
      </c>
      <c r="D69" t="s">
        <v>16</v>
      </c>
      <c r="E69">
        <v>2</v>
      </c>
      <c r="F69" t="s">
        <v>12</v>
      </c>
      <c r="G69" t="s">
        <v>17</v>
      </c>
      <c r="H69" s="18">
        <v>168000</v>
      </c>
      <c r="I69" s="18">
        <v>336000</v>
      </c>
    </row>
    <row r="70" spans="1:9" ht="14.5" x14ac:dyDescent="0.35">
      <c r="A70" s="16">
        <v>42736</v>
      </c>
      <c r="B70" t="s">
        <v>66</v>
      </c>
      <c r="C70">
        <v>1</v>
      </c>
      <c r="D70" t="s">
        <v>53</v>
      </c>
      <c r="E70">
        <v>1</v>
      </c>
      <c r="F70" t="s">
        <v>12</v>
      </c>
      <c r="G70" t="s">
        <v>17</v>
      </c>
      <c r="H70" s="18">
        <v>402000</v>
      </c>
      <c r="I70" s="18">
        <v>402000</v>
      </c>
    </row>
    <row r="71" spans="1:9" ht="14.5" x14ac:dyDescent="0.35">
      <c r="A71" s="16">
        <v>42736</v>
      </c>
      <c r="B71" t="s">
        <v>67</v>
      </c>
      <c r="C71">
        <v>1</v>
      </c>
      <c r="D71" t="s">
        <v>46</v>
      </c>
      <c r="E71">
        <v>1</v>
      </c>
      <c r="F71" t="s">
        <v>12</v>
      </c>
      <c r="G71" t="s">
        <v>15</v>
      </c>
      <c r="H71" s="18">
        <v>105000</v>
      </c>
      <c r="I71" s="18">
        <v>105000</v>
      </c>
    </row>
    <row r="72" spans="1:9" ht="14.5" x14ac:dyDescent="0.35">
      <c r="A72" s="16">
        <v>42736</v>
      </c>
      <c r="B72" t="s">
        <v>68</v>
      </c>
      <c r="C72">
        <v>1</v>
      </c>
      <c r="D72" t="s">
        <v>11</v>
      </c>
      <c r="E72">
        <v>1</v>
      </c>
      <c r="F72" t="s">
        <v>12</v>
      </c>
      <c r="G72" t="s">
        <v>13</v>
      </c>
      <c r="H72" s="18">
        <v>231000</v>
      </c>
      <c r="I72" s="18">
        <v>231000</v>
      </c>
    </row>
    <row r="73" spans="1:9" ht="14.5" x14ac:dyDescent="0.35">
      <c r="A73" s="16">
        <v>42736</v>
      </c>
      <c r="B73" t="s">
        <v>68</v>
      </c>
      <c r="C73">
        <v>2</v>
      </c>
      <c r="D73" t="s">
        <v>45</v>
      </c>
      <c r="E73">
        <v>3</v>
      </c>
      <c r="F73" t="s">
        <v>12</v>
      </c>
      <c r="G73" t="s">
        <v>32</v>
      </c>
      <c r="H73" s="18">
        <v>234000</v>
      </c>
      <c r="I73" s="18">
        <v>702000</v>
      </c>
    </row>
    <row r="74" spans="1:9" ht="14.5" x14ac:dyDescent="0.35">
      <c r="A74" s="16">
        <v>42736</v>
      </c>
      <c r="B74" t="s">
        <v>68</v>
      </c>
      <c r="C74">
        <v>3</v>
      </c>
      <c r="D74" t="s">
        <v>21</v>
      </c>
      <c r="E74">
        <v>1</v>
      </c>
      <c r="F74" t="s">
        <v>12</v>
      </c>
      <c r="G74" t="s">
        <v>13</v>
      </c>
      <c r="H74" s="18">
        <v>192000</v>
      </c>
      <c r="I74" s="18">
        <v>192000</v>
      </c>
    </row>
    <row r="75" spans="1:9" ht="14.5" x14ac:dyDescent="0.35">
      <c r="A75" s="16">
        <v>42736</v>
      </c>
      <c r="B75" t="s">
        <v>69</v>
      </c>
      <c r="C75">
        <v>1</v>
      </c>
      <c r="D75" t="s">
        <v>45</v>
      </c>
      <c r="E75">
        <v>2</v>
      </c>
      <c r="F75" t="s">
        <v>12</v>
      </c>
      <c r="G75" t="s">
        <v>32</v>
      </c>
      <c r="H75" s="18">
        <v>234000</v>
      </c>
      <c r="I75" s="18">
        <v>468000</v>
      </c>
    </row>
    <row r="76" spans="1:9" ht="14.5" x14ac:dyDescent="0.35">
      <c r="A76" s="16">
        <v>42736</v>
      </c>
      <c r="B76" t="s">
        <v>69</v>
      </c>
      <c r="C76">
        <v>2</v>
      </c>
      <c r="D76" t="s">
        <v>63</v>
      </c>
      <c r="E76">
        <v>3</v>
      </c>
      <c r="F76" t="s">
        <v>12</v>
      </c>
      <c r="G76" t="s">
        <v>19</v>
      </c>
      <c r="H76" s="18">
        <v>132000</v>
      </c>
      <c r="I76" s="18">
        <v>396000</v>
      </c>
    </row>
    <row r="77" spans="1:9" ht="14.5" x14ac:dyDescent="0.35">
      <c r="A77" s="16">
        <v>42736</v>
      </c>
      <c r="B77" t="s">
        <v>69</v>
      </c>
      <c r="C77">
        <v>3</v>
      </c>
      <c r="D77" t="s">
        <v>37</v>
      </c>
      <c r="E77">
        <v>2</v>
      </c>
      <c r="F77" t="s">
        <v>12</v>
      </c>
      <c r="G77" t="s">
        <v>19</v>
      </c>
      <c r="H77" s="18">
        <v>195000</v>
      </c>
      <c r="I77" s="18">
        <v>390000</v>
      </c>
    </row>
    <row r="78" spans="1:9" ht="14.5" x14ac:dyDescent="0.35">
      <c r="A78" s="16">
        <v>42736</v>
      </c>
      <c r="B78" t="s">
        <v>70</v>
      </c>
      <c r="C78">
        <v>1</v>
      </c>
      <c r="D78" t="s">
        <v>31</v>
      </c>
      <c r="E78">
        <v>1</v>
      </c>
      <c r="F78" t="s">
        <v>12</v>
      </c>
      <c r="G78" t="s">
        <v>32</v>
      </c>
      <c r="H78" s="18">
        <v>597000</v>
      </c>
      <c r="I78" s="18">
        <v>597000</v>
      </c>
    </row>
    <row r="79" spans="1:9" ht="14.5" x14ac:dyDescent="0.35">
      <c r="A79" s="16">
        <v>42736</v>
      </c>
      <c r="B79" t="s">
        <v>71</v>
      </c>
      <c r="C79">
        <v>1</v>
      </c>
      <c r="D79" t="s">
        <v>21</v>
      </c>
      <c r="E79">
        <v>1</v>
      </c>
      <c r="F79" t="s">
        <v>72</v>
      </c>
      <c r="G79" t="s">
        <v>13</v>
      </c>
      <c r="H79" s="18">
        <v>192000</v>
      </c>
      <c r="I79" s="18">
        <v>192000</v>
      </c>
    </row>
    <row r="80" spans="1:9" ht="14.5" x14ac:dyDescent="0.35">
      <c r="A80" s="16">
        <v>42736</v>
      </c>
      <c r="B80" t="s">
        <v>73</v>
      </c>
      <c r="C80">
        <v>1</v>
      </c>
      <c r="D80" t="s">
        <v>53</v>
      </c>
      <c r="E80">
        <v>1</v>
      </c>
      <c r="F80" t="s">
        <v>72</v>
      </c>
      <c r="G80" t="s">
        <v>17</v>
      </c>
      <c r="H80" s="18">
        <v>402000</v>
      </c>
      <c r="I80" s="18">
        <v>402000</v>
      </c>
    </row>
    <row r="81" spans="1:9" ht="14.5" x14ac:dyDescent="0.35">
      <c r="A81" s="16">
        <v>42736</v>
      </c>
      <c r="B81" t="s">
        <v>73</v>
      </c>
      <c r="C81">
        <v>2</v>
      </c>
      <c r="D81" t="s">
        <v>42</v>
      </c>
      <c r="E81">
        <v>1</v>
      </c>
      <c r="F81" t="s">
        <v>72</v>
      </c>
      <c r="G81" t="s">
        <v>19</v>
      </c>
      <c r="H81" s="18">
        <v>141000</v>
      </c>
      <c r="I81" s="18">
        <v>141000</v>
      </c>
    </row>
    <row r="82" spans="1:9" ht="14.5" x14ac:dyDescent="0.35">
      <c r="A82" s="16">
        <v>42736</v>
      </c>
      <c r="B82" t="s">
        <v>74</v>
      </c>
      <c r="C82">
        <v>1</v>
      </c>
      <c r="D82" t="s">
        <v>25</v>
      </c>
      <c r="E82">
        <v>2</v>
      </c>
      <c r="F82" t="s">
        <v>72</v>
      </c>
      <c r="G82" t="s">
        <v>19</v>
      </c>
      <c r="H82" s="18">
        <v>231000</v>
      </c>
      <c r="I82" s="18">
        <v>462000</v>
      </c>
    </row>
    <row r="83" spans="1:9" ht="14.5" x14ac:dyDescent="0.35">
      <c r="A83" s="16">
        <v>42736</v>
      </c>
      <c r="B83" t="s">
        <v>75</v>
      </c>
      <c r="C83">
        <v>1</v>
      </c>
      <c r="D83" t="s">
        <v>63</v>
      </c>
      <c r="E83">
        <v>2</v>
      </c>
      <c r="F83" t="s">
        <v>72</v>
      </c>
      <c r="G83" t="s">
        <v>19</v>
      </c>
      <c r="H83" s="18">
        <v>132000</v>
      </c>
      <c r="I83" s="18">
        <v>264000</v>
      </c>
    </row>
    <row r="84" spans="1:9" ht="14.5" x14ac:dyDescent="0.35">
      <c r="A84" s="16">
        <v>42736</v>
      </c>
      <c r="B84" t="s">
        <v>75</v>
      </c>
      <c r="C84">
        <v>2</v>
      </c>
      <c r="D84" t="s">
        <v>18</v>
      </c>
      <c r="E84">
        <v>3</v>
      </c>
      <c r="F84" t="s">
        <v>72</v>
      </c>
      <c r="G84" t="s">
        <v>19</v>
      </c>
      <c r="H84" s="18">
        <v>135000</v>
      </c>
      <c r="I84" s="18">
        <v>405000</v>
      </c>
    </row>
    <row r="85" spans="1:9" ht="14.5" x14ac:dyDescent="0.35">
      <c r="A85" s="16">
        <v>42736</v>
      </c>
      <c r="B85" t="s">
        <v>76</v>
      </c>
      <c r="C85">
        <v>1</v>
      </c>
      <c r="D85" t="s">
        <v>16</v>
      </c>
      <c r="E85">
        <v>3</v>
      </c>
      <c r="F85" t="s">
        <v>72</v>
      </c>
      <c r="G85" t="s">
        <v>17</v>
      </c>
      <c r="H85" s="18">
        <v>168000</v>
      </c>
      <c r="I85" s="18">
        <v>504000</v>
      </c>
    </row>
    <row r="86" spans="1:9" ht="14.5" x14ac:dyDescent="0.35">
      <c r="A86" s="16">
        <v>42736</v>
      </c>
      <c r="B86" t="s">
        <v>76</v>
      </c>
      <c r="C86">
        <v>2</v>
      </c>
      <c r="D86" t="s">
        <v>18</v>
      </c>
      <c r="E86">
        <v>2</v>
      </c>
      <c r="F86" t="s">
        <v>72</v>
      </c>
      <c r="G86" t="s">
        <v>19</v>
      </c>
      <c r="H86" s="18">
        <v>135000</v>
      </c>
      <c r="I86" s="18">
        <v>270000</v>
      </c>
    </row>
    <row r="87" spans="1:9" ht="14.5" x14ac:dyDescent="0.35">
      <c r="A87" s="16">
        <v>42736</v>
      </c>
      <c r="B87" t="s">
        <v>77</v>
      </c>
      <c r="C87">
        <v>1</v>
      </c>
      <c r="D87" t="s">
        <v>42</v>
      </c>
      <c r="E87">
        <v>1</v>
      </c>
      <c r="F87" t="s">
        <v>72</v>
      </c>
      <c r="G87" t="s">
        <v>19</v>
      </c>
      <c r="H87" s="18">
        <v>141000</v>
      </c>
      <c r="I87" s="18">
        <v>141000</v>
      </c>
    </row>
    <row r="88" spans="1:9" ht="14.5" x14ac:dyDescent="0.35">
      <c r="A88" s="16">
        <v>42736</v>
      </c>
      <c r="B88" t="s">
        <v>77</v>
      </c>
      <c r="C88">
        <v>2</v>
      </c>
      <c r="D88" t="s">
        <v>59</v>
      </c>
      <c r="E88">
        <v>3</v>
      </c>
      <c r="F88" t="s">
        <v>72</v>
      </c>
      <c r="G88" t="s">
        <v>13</v>
      </c>
      <c r="H88" s="18">
        <v>249000</v>
      </c>
      <c r="I88" s="18">
        <v>747000</v>
      </c>
    </row>
    <row r="89" spans="1:9" ht="14.5" x14ac:dyDescent="0.35">
      <c r="A89" s="16">
        <v>42736</v>
      </c>
      <c r="B89" t="s">
        <v>77</v>
      </c>
      <c r="C89">
        <v>3</v>
      </c>
      <c r="D89" t="s">
        <v>31</v>
      </c>
      <c r="E89">
        <v>1</v>
      </c>
      <c r="F89" t="s">
        <v>72</v>
      </c>
      <c r="G89" t="s">
        <v>32</v>
      </c>
      <c r="H89" s="18">
        <v>597000</v>
      </c>
      <c r="I89" s="18">
        <v>597000</v>
      </c>
    </row>
    <row r="90" spans="1:9" ht="14.5" x14ac:dyDescent="0.35">
      <c r="A90" s="16">
        <v>42736</v>
      </c>
      <c r="B90" t="s">
        <v>78</v>
      </c>
      <c r="C90">
        <v>1</v>
      </c>
      <c r="D90" t="s">
        <v>39</v>
      </c>
      <c r="E90">
        <v>3</v>
      </c>
      <c r="F90" t="s">
        <v>72</v>
      </c>
      <c r="G90" t="s">
        <v>15</v>
      </c>
      <c r="H90" s="18">
        <v>75000</v>
      </c>
      <c r="I90" s="18">
        <v>225000</v>
      </c>
    </row>
    <row r="91" spans="1:9" ht="14.5" x14ac:dyDescent="0.35">
      <c r="A91" s="16">
        <v>42736</v>
      </c>
      <c r="B91" t="s">
        <v>79</v>
      </c>
      <c r="C91">
        <v>1</v>
      </c>
      <c r="D91" t="s">
        <v>37</v>
      </c>
      <c r="E91">
        <v>1</v>
      </c>
      <c r="F91" t="s">
        <v>72</v>
      </c>
      <c r="G91" t="s">
        <v>19</v>
      </c>
      <c r="H91" s="18">
        <v>195000</v>
      </c>
      <c r="I91" s="18">
        <v>195000</v>
      </c>
    </row>
    <row r="92" spans="1:9" ht="14.5" x14ac:dyDescent="0.35">
      <c r="A92" s="16">
        <v>42736</v>
      </c>
      <c r="B92" t="s">
        <v>79</v>
      </c>
      <c r="C92">
        <v>2</v>
      </c>
      <c r="D92" t="s">
        <v>39</v>
      </c>
      <c r="E92">
        <v>2</v>
      </c>
      <c r="F92" t="s">
        <v>72</v>
      </c>
      <c r="G92" t="s">
        <v>15</v>
      </c>
      <c r="H92" s="18">
        <v>75000</v>
      </c>
      <c r="I92" s="18">
        <v>150000</v>
      </c>
    </row>
    <row r="93" spans="1:9" ht="14.5" x14ac:dyDescent="0.35">
      <c r="A93" s="16">
        <v>42736</v>
      </c>
      <c r="B93" t="s">
        <v>80</v>
      </c>
      <c r="C93">
        <v>1</v>
      </c>
      <c r="D93" t="s">
        <v>14</v>
      </c>
      <c r="E93">
        <v>1</v>
      </c>
      <c r="F93" t="s">
        <v>72</v>
      </c>
      <c r="G93" t="s">
        <v>15</v>
      </c>
      <c r="H93" s="18">
        <v>135000</v>
      </c>
      <c r="I93" s="18">
        <v>135000</v>
      </c>
    </row>
    <row r="94" spans="1:9" ht="14.5" x14ac:dyDescent="0.35">
      <c r="A94" s="16">
        <v>42736</v>
      </c>
      <c r="B94" t="s">
        <v>80</v>
      </c>
      <c r="C94">
        <v>2</v>
      </c>
      <c r="D94" t="s">
        <v>23</v>
      </c>
      <c r="E94">
        <v>3</v>
      </c>
      <c r="F94" t="s">
        <v>72</v>
      </c>
      <c r="G94" t="s">
        <v>17</v>
      </c>
      <c r="H94" s="18">
        <v>288000</v>
      </c>
      <c r="I94" s="18">
        <v>864000</v>
      </c>
    </row>
    <row r="95" spans="1:9" ht="14.5" x14ac:dyDescent="0.35">
      <c r="A95" s="16">
        <v>42736</v>
      </c>
      <c r="B95" t="s">
        <v>80</v>
      </c>
      <c r="C95">
        <v>3</v>
      </c>
      <c r="D95" t="s">
        <v>39</v>
      </c>
      <c r="E95">
        <v>2</v>
      </c>
      <c r="F95" t="s">
        <v>72</v>
      </c>
      <c r="G95" t="s">
        <v>15</v>
      </c>
      <c r="H95" s="18">
        <v>75000</v>
      </c>
      <c r="I95" s="18">
        <v>150000</v>
      </c>
    </row>
    <row r="96" spans="1:9" ht="14.5" x14ac:dyDescent="0.35">
      <c r="A96" s="16">
        <v>42736</v>
      </c>
      <c r="B96" t="s">
        <v>80</v>
      </c>
      <c r="C96">
        <v>4</v>
      </c>
      <c r="D96" t="s">
        <v>37</v>
      </c>
      <c r="E96">
        <v>3</v>
      </c>
      <c r="F96" t="s">
        <v>72</v>
      </c>
      <c r="G96" t="s">
        <v>19</v>
      </c>
      <c r="H96" s="18">
        <v>195000</v>
      </c>
      <c r="I96" s="18">
        <v>585000</v>
      </c>
    </row>
    <row r="97" spans="1:9" ht="14.5" x14ac:dyDescent="0.35">
      <c r="A97" s="16">
        <v>42736</v>
      </c>
      <c r="B97" t="s">
        <v>81</v>
      </c>
      <c r="C97">
        <v>1</v>
      </c>
      <c r="D97" t="s">
        <v>16</v>
      </c>
      <c r="E97">
        <v>2</v>
      </c>
      <c r="F97" t="s">
        <v>72</v>
      </c>
      <c r="G97" t="s">
        <v>17</v>
      </c>
      <c r="H97" s="18">
        <v>168000</v>
      </c>
      <c r="I97" s="18">
        <v>336000</v>
      </c>
    </row>
    <row r="98" spans="1:9" ht="14.5" x14ac:dyDescent="0.35">
      <c r="A98" s="16">
        <v>42736</v>
      </c>
      <c r="B98" t="s">
        <v>81</v>
      </c>
      <c r="C98">
        <v>2</v>
      </c>
      <c r="D98" t="s">
        <v>39</v>
      </c>
      <c r="E98">
        <v>2</v>
      </c>
      <c r="F98" t="s">
        <v>72</v>
      </c>
      <c r="G98" t="s">
        <v>15</v>
      </c>
      <c r="H98" s="18">
        <v>75000</v>
      </c>
      <c r="I98" s="18">
        <v>150000</v>
      </c>
    </row>
    <row r="99" spans="1:9" ht="14.5" x14ac:dyDescent="0.35">
      <c r="A99" s="16">
        <v>42736</v>
      </c>
      <c r="B99" t="s">
        <v>82</v>
      </c>
      <c r="C99">
        <v>1</v>
      </c>
      <c r="D99" t="s">
        <v>23</v>
      </c>
      <c r="E99">
        <v>2</v>
      </c>
      <c r="F99" t="s">
        <v>72</v>
      </c>
      <c r="G99" t="s">
        <v>17</v>
      </c>
      <c r="H99" s="18">
        <v>288000</v>
      </c>
      <c r="I99" s="18">
        <v>576000</v>
      </c>
    </row>
    <row r="100" spans="1:9" ht="14.5" x14ac:dyDescent="0.35">
      <c r="A100" s="16">
        <v>42736</v>
      </c>
      <c r="B100" t="s">
        <v>82</v>
      </c>
      <c r="C100">
        <v>2</v>
      </c>
      <c r="D100" t="s">
        <v>48</v>
      </c>
      <c r="E100">
        <v>2</v>
      </c>
      <c r="F100" t="s">
        <v>72</v>
      </c>
      <c r="G100" t="s">
        <v>13</v>
      </c>
      <c r="H100" s="18">
        <v>165000</v>
      </c>
      <c r="I100" s="18">
        <v>330000</v>
      </c>
    </row>
    <row r="101" spans="1:9" ht="14.5" x14ac:dyDescent="0.35">
      <c r="A101" s="16">
        <v>42736</v>
      </c>
      <c r="B101" t="s">
        <v>82</v>
      </c>
      <c r="C101">
        <v>3</v>
      </c>
      <c r="D101" t="s">
        <v>11</v>
      </c>
      <c r="E101">
        <v>2</v>
      </c>
      <c r="F101" t="s">
        <v>72</v>
      </c>
      <c r="G101" t="s">
        <v>13</v>
      </c>
      <c r="H101" s="18">
        <v>231000</v>
      </c>
      <c r="I101" s="18">
        <v>462000</v>
      </c>
    </row>
    <row r="102" spans="1:9" ht="14.5" x14ac:dyDescent="0.35">
      <c r="A102" s="16">
        <v>42736</v>
      </c>
      <c r="B102" t="s">
        <v>83</v>
      </c>
      <c r="C102">
        <v>1</v>
      </c>
      <c r="D102" t="s">
        <v>84</v>
      </c>
      <c r="E102">
        <v>3</v>
      </c>
      <c r="F102" t="s">
        <v>72</v>
      </c>
      <c r="G102" t="s">
        <v>32</v>
      </c>
      <c r="H102" s="18">
        <v>705000</v>
      </c>
      <c r="I102" s="18">
        <v>2115000</v>
      </c>
    </row>
    <row r="103" spans="1:9" ht="14.5" x14ac:dyDescent="0.35">
      <c r="A103" s="16">
        <v>42736</v>
      </c>
      <c r="B103" t="s">
        <v>85</v>
      </c>
      <c r="C103">
        <v>1</v>
      </c>
      <c r="D103" t="s">
        <v>48</v>
      </c>
      <c r="E103">
        <v>3</v>
      </c>
      <c r="F103" t="s">
        <v>72</v>
      </c>
      <c r="G103" t="s">
        <v>13</v>
      </c>
      <c r="H103" s="18">
        <v>165000</v>
      </c>
      <c r="I103" s="18">
        <v>495000</v>
      </c>
    </row>
    <row r="104" spans="1:9" ht="14.5" x14ac:dyDescent="0.35">
      <c r="A104" s="16">
        <v>42736</v>
      </c>
      <c r="B104" t="s">
        <v>85</v>
      </c>
      <c r="C104">
        <v>2</v>
      </c>
      <c r="D104" t="s">
        <v>45</v>
      </c>
      <c r="E104">
        <v>2</v>
      </c>
      <c r="F104" t="s">
        <v>72</v>
      </c>
      <c r="G104" t="s">
        <v>32</v>
      </c>
      <c r="H104" s="18">
        <v>234000</v>
      </c>
      <c r="I104" s="18">
        <v>468000</v>
      </c>
    </row>
    <row r="105" spans="1:9" ht="14.5" x14ac:dyDescent="0.35">
      <c r="A105" s="16">
        <v>42736</v>
      </c>
      <c r="B105" t="s">
        <v>85</v>
      </c>
      <c r="C105">
        <v>3</v>
      </c>
      <c r="D105" t="s">
        <v>46</v>
      </c>
      <c r="E105">
        <v>3</v>
      </c>
      <c r="F105" t="s">
        <v>72</v>
      </c>
      <c r="G105" t="s">
        <v>15</v>
      </c>
      <c r="H105" s="18">
        <v>105000</v>
      </c>
      <c r="I105" s="18">
        <v>315000</v>
      </c>
    </row>
    <row r="106" spans="1:9" ht="14.5" x14ac:dyDescent="0.35">
      <c r="A106" s="16">
        <v>42736</v>
      </c>
      <c r="B106" t="s">
        <v>86</v>
      </c>
      <c r="C106">
        <v>1</v>
      </c>
      <c r="D106" t="s">
        <v>31</v>
      </c>
      <c r="E106">
        <v>1</v>
      </c>
      <c r="F106" t="s">
        <v>72</v>
      </c>
      <c r="G106" t="s">
        <v>32</v>
      </c>
      <c r="H106" s="18">
        <v>597000</v>
      </c>
      <c r="I106" s="18">
        <v>597000</v>
      </c>
    </row>
    <row r="107" spans="1:9" ht="14.5" x14ac:dyDescent="0.35">
      <c r="A107" s="16">
        <v>42736</v>
      </c>
      <c r="B107" t="s">
        <v>86</v>
      </c>
      <c r="C107">
        <v>2</v>
      </c>
      <c r="D107" t="s">
        <v>31</v>
      </c>
      <c r="E107">
        <v>2</v>
      </c>
      <c r="F107" t="s">
        <v>72</v>
      </c>
      <c r="G107" t="s">
        <v>32</v>
      </c>
      <c r="H107" s="18">
        <v>597000</v>
      </c>
      <c r="I107" s="18">
        <v>1194000</v>
      </c>
    </row>
    <row r="108" spans="1:9" ht="14.5" x14ac:dyDescent="0.35">
      <c r="A108" s="16">
        <v>42736</v>
      </c>
      <c r="B108" t="s">
        <v>86</v>
      </c>
      <c r="C108">
        <v>3</v>
      </c>
      <c r="D108" t="s">
        <v>54</v>
      </c>
      <c r="E108">
        <v>2</v>
      </c>
      <c r="F108" t="s">
        <v>72</v>
      </c>
      <c r="G108" t="s">
        <v>32</v>
      </c>
      <c r="H108" s="18">
        <v>267000</v>
      </c>
      <c r="I108" s="18">
        <v>534000</v>
      </c>
    </row>
    <row r="109" spans="1:9" ht="14.5" x14ac:dyDescent="0.35">
      <c r="A109" s="16">
        <v>42736</v>
      </c>
      <c r="B109" t="s">
        <v>87</v>
      </c>
      <c r="C109">
        <v>1</v>
      </c>
      <c r="D109" t="s">
        <v>88</v>
      </c>
      <c r="E109">
        <v>3</v>
      </c>
      <c r="F109" t="s">
        <v>72</v>
      </c>
      <c r="G109" t="s">
        <v>32</v>
      </c>
      <c r="H109" s="18">
        <v>276000</v>
      </c>
      <c r="I109" s="18">
        <v>828000</v>
      </c>
    </row>
    <row r="110" spans="1:9" ht="14.5" x14ac:dyDescent="0.35">
      <c r="A110" s="16">
        <v>42736</v>
      </c>
      <c r="B110" t="s">
        <v>87</v>
      </c>
      <c r="C110">
        <v>2</v>
      </c>
      <c r="D110" t="s">
        <v>29</v>
      </c>
      <c r="E110">
        <v>2</v>
      </c>
      <c r="F110" t="s">
        <v>72</v>
      </c>
      <c r="G110" t="s">
        <v>17</v>
      </c>
      <c r="H110" s="18">
        <v>153000</v>
      </c>
      <c r="I110" s="18">
        <v>306000</v>
      </c>
    </row>
    <row r="111" spans="1:9" ht="14.5" x14ac:dyDescent="0.35">
      <c r="A111" s="16">
        <v>42736</v>
      </c>
      <c r="B111" t="s">
        <v>89</v>
      </c>
      <c r="C111">
        <v>1</v>
      </c>
      <c r="D111" t="s">
        <v>63</v>
      </c>
      <c r="E111">
        <v>3</v>
      </c>
      <c r="F111" t="s">
        <v>72</v>
      </c>
      <c r="G111" t="s">
        <v>19</v>
      </c>
      <c r="H111" s="18">
        <v>132000</v>
      </c>
      <c r="I111" s="18">
        <v>396000</v>
      </c>
    </row>
    <row r="112" spans="1:9" ht="14.5" x14ac:dyDescent="0.35">
      <c r="A112" s="16">
        <v>42736</v>
      </c>
      <c r="B112" t="s">
        <v>89</v>
      </c>
      <c r="C112">
        <v>2</v>
      </c>
      <c r="D112" t="s">
        <v>16</v>
      </c>
      <c r="E112">
        <v>3</v>
      </c>
      <c r="F112" t="s">
        <v>72</v>
      </c>
      <c r="G112" t="s">
        <v>17</v>
      </c>
      <c r="H112" s="18">
        <v>168000</v>
      </c>
      <c r="I112" s="18">
        <v>504000</v>
      </c>
    </row>
    <row r="113" spans="1:9" ht="14.5" x14ac:dyDescent="0.35">
      <c r="A113" s="16">
        <v>42736</v>
      </c>
      <c r="B113" t="s">
        <v>90</v>
      </c>
      <c r="C113">
        <v>1</v>
      </c>
      <c r="D113" t="s">
        <v>53</v>
      </c>
      <c r="E113">
        <v>3</v>
      </c>
      <c r="F113" t="s">
        <v>72</v>
      </c>
      <c r="G113" t="s">
        <v>17</v>
      </c>
      <c r="H113" s="18">
        <v>402000</v>
      </c>
      <c r="I113" s="18">
        <v>1206000</v>
      </c>
    </row>
    <row r="114" spans="1:9" ht="14.5" x14ac:dyDescent="0.35">
      <c r="A114" s="16">
        <v>42736</v>
      </c>
      <c r="B114" t="s">
        <v>90</v>
      </c>
      <c r="C114">
        <v>2</v>
      </c>
      <c r="D114" t="s">
        <v>63</v>
      </c>
      <c r="E114">
        <v>1</v>
      </c>
      <c r="F114" t="s">
        <v>72</v>
      </c>
      <c r="G114" t="s">
        <v>19</v>
      </c>
      <c r="H114" s="18">
        <v>132000</v>
      </c>
      <c r="I114" s="18">
        <v>132000</v>
      </c>
    </row>
    <row r="115" spans="1:9" ht="14.5" x14ac:dyDescent="0.35">
      <c r="A115" s="16">
        <v>42736</v>
      </c>
      <c r="B115" t="s">
        <v>90</v>
      </c>
      <c r="C115">
        <v>3</v>
      </c>
      <c r="D115" t="s">
        <v>54</v>
      </c>
      <c r="E115">
        <v>3</v>
      </c>
      <c r="F115" t="s">
        <v>72</v>
      </c>
      <c r="G115" t="s">
        <v>32</v>
      </c>
      <c r="H115" s="18">
        <v>267000</v>
      </c>
      <c r="I115" s="18">
        <v>801000</v>
      </c>
    </row>
    <row r="116" spans="1:9" ht="14.5" x14ac:dyDescent="0.35">
      <c r="A116" s="16">
        <v>42736</v>
      </c>
      <c r="B116" t="s">
        <v>91</v>
      </c>
      <c r="C116">
        <v>1</v>
      </c>
      <c r="D116" t="s">
        <v>39</v>
      </c>
      <c r="E116">
        <v>1</v>
      </c>
      <c r="F116" t="s">
        <v>72</v>
      </c>
      <c r="G116" t="s">
        <v>15</v>
      </c>
      <c r="H116" s="18">
        <v>75000</v>
      </c>
      <c r="I116" s="18">
        <v>75000</v>
      </c>
    </row>
    <row r="117" spans="1:9" ht="14.5" x14ac:dyDescent="0.35">
      <c r="A117" s="16">
        <v>42736</v>
      </c>
      <c r="B117" t="s">
        <v>91</v>
      </c>
      <c r="C117">
        <v>2</v>
      </c>
      <c r="D117" t="s">
        <v>88</v>
      </c>
      <c r="E117">
        <v>1</v>
      </c>
      <c r="F117" t="s">
        <v>72</v>
      </c>
      <c r="G117" t="s">
        <v>32</v>
      </c>
      <c r="H117" s="18">
        <v>276000</v>
      </c>
      <c r="I117" s="18">
        <v>276000</v>
      </c>
    </row>
    <row r="118" spans="1:9" ht="14.5" x14ac:dyDescent="0.35">
      <c r="A118" s="16">
        <v>42736</v>
      </c>
      <c r="B118" t="s">
        <v>91</v>
      </c>
      <c r="C118">
        <v>3</v>
      </c>
      <c r="D118" t="s">
        <v>37</v>
      </c>
      <c r="E118">
        <v>1</v>
      </c>
      <c r="F118" t="s">
        <v>72</v>
      </c>
      <c r="G118" t="s">
        <v>19</v>
      </c>
      <c r="H118" s="18">
        <v>195000</v>
      </c>
      <c r="I118" s="18">
        <v>195000</v>
      </c>
    </row>
    <row r="119" spans="1:9" ht="14.5" x14ac:dyDescent="0.35">
      <c r="A119" s="16">
        <v>42736</v>
      </c>
      <c r="B119" t="s">
        <v>92</v>
      </c>
      <c r="C119">
        <v>1</v>
      </c>
      <c r="D119" t="s">
        <v>37</v>
      </c>
      <c r="E119">
        <v>1</v>
      </c>
      <c r="F119" t="s">
        <v>72</v>
      </c>
      <c r="G119" t="s">
        <v>19</v>
      </c>
      <c r="H119" s="18">
        <v>195000</v>
      </c>
      <c r="I119" s="18">
        <v>195000</v>
      </c>
    </row>
    <row r="120" spans="1:9" ht="14.5" x14ac:dyDescent="0.35">
      <c r="A120" s="16">
        <v>42736</v>
      </c>
      <c r="B120" t="s">
        <v>93</v>
      </c>
      <c r="C120">
        <v>1</v>
      </c>
      <c r="D120" t="s">
        <v>48</v>
      </c>
      <c r="E120">
        <v>1</v>
      </c>
      <c r="F120" t="s">
        <v>72</v>
      </c>
      <c r="G120" t="s">
        <v>13</v>
      </c>
      <c r="H120" s="18">
        <v>165000</v>
      </c>
      <c r="I120" s="18">
        <v>165000</v>
      </c>
    </row>
    <row r="121" spans="1:9" ht="14.5" x14ac:dyDescent="0.35">
      <c r="A121" s="16">
        <v>42736</v>
      </c>
      <c r="B121" t="s">
        <v>93</v>
      </c>
      <c r="C121">
        <v>2</v>
      </c>
      <c r="D121" t="s">
        <v>59</v>
      </c>
      <c r="E121">
        <v>3</v>
      </c>
      <c r="F121" t="s">
        <v>72</v>
      </c>
      <c r="G121" t="s">
        <v>13</v>
      </c>
      <c r="H121" s="18">
        <v>249000</v>
      </c>
      <c r="I121" s="18">
        <v>747000</v>
      </c>
    </row>
    <row r="122" spans="1:9" ht="14.5" x14ac:dyDescent="0.35">
      <c r="A122" s="16">
        <v>42736</v>
      </c>
      <c r="B122" t="s">
        <v>93</v>
      </c>
      <c r="C122">
        <v>3</v>
      </c>
      <c r="D122" t="s">
        <v>23</v>
      </c>
      <c r="E122">
        <v>2</v>
      </c>
      <c r="F122" t="s">
        <v>72</v>
      </c>
      <c r="G122" t="s">
        <v>17</v>
      </c>
      <c r="H122" s="18">
        <v>288000</v>
      </c>
      <c r="I122" s="18">
        <v>576000</v>
      </c>
    </row>
    <row r="123" spans="1:9" ht="14.5" x14ac:dyDescent="0.35">
      <c r="A123" s="16">
        <v>42736</v>
      </c>
      <c r="B123" t="s">
        <v>93</v>
      </c>
      <c r="C123">
        <v>4</v>
      </c>
      <c r="D123" t="s">
        <v>21</v>
      </c>
      <c r="E123">
        <v>3</v>
      </c>
      <c r="F123" t="s">
        <v>72</v>
      </c>
      <c r="G123" t="s">
        <v>13</v>
      </c>
      <c r="H123" s="18">
        <v>192000</v>
      </c>
      <c r="I123" s="18">
        <v>576000</v>
      </c>
    </row>
    <row r="124" spans="1:9" ht="14.5" x14ac:dyDescent="0.35">
      <c r="A124" s="16">
        <v>42736</v>
      </c>
      <c r="B124" t="s">
        <v>94</v>
      </c>
      <c r="C124">
        <v>1</v>
      </c>
      <c r="D124" t="s">
        <v>84</v>
      </c>
      <c r="E124">
        <v>2</v>
      </c>
      <c r="F124" t="s">
        <v>72</v>
      </c>
      <c r="G124" t="s">
        <v>32</v>
      </c>
      <c r="H124" s="18">
        <v>705000</v>
      </c>
      <c r="I124" s="18">
        <v>1410000</v>
      </c>
    </row>
    <row r="125" spans="1:9" ht="14.5" x14ac:dyDescent="0.35">
      <c r="A125" s="16">
        <v>42736</v>
      </c>
      <c r="B125" t="s">
        <v>94</v>
      </c>
      <c r="C125">
        <v>2</v>
      </c>
      <c r="D125" t="s">
        <v>11</v>
      </c>
      <c r="E125">
        <v>2</v>
      </c>
      <c r="F125" t="s">
        <v>72</v>
      </c>
      <c r="G125" t="s">
        <v>13</v>
      </c>
      <c r="H125" s="18">
        <v>231000</v>
      </c>
      <c r="I125" s="18">
        <v>462000</v>
      </c>
    </row>
    <row r="126" spans="1:9" ht="14.5" x14ac:dyDescent="0.35">
      <c r="A126" s="16">
        <v>42736</v>
      </c>
      <c r="B126" t="s">
        <v>95</v>
      </c>
      <c r="C126">
        <v>1</v>
      </c>
      <c r="D126" t="s">
        <v>16</v>
      </c>
      <c r="E126">
        <v>2</v>
      </c>
      <c r="F126" t="s">
        <v>72</v>
      </c>
      <c r="G126" t="s">
        <v>17</v>
      </c>
      <c r="H126" s="18">
        <v>168000</v>
      </c>
      <c r="I126" s="18">
        <v>336000</v>
      </c>
    </row>
    <row r="127" spans="1:9" ht="14.5" x14ac:dyDescent="0.35">
      <c r="A127" s="16">
        <v>42736</v>
      </c>
      <c r="B127" t="s">
        <v>96</v>
      </c>
      <c r="C127">
        <v>1</v>
      </c>
      <c r="D127" t="s">
        <v>46</v>
      </c>
      <c r="E127">
        <v>3</v>
      </c>
      <c r="F127" t="s">
        <v>72</v>
      </c>
      <c r="G127" t="s">
        <v>15</v>
      </c>
      <c r="H127" s="18">
        <v>105000</v>
      </c>
      <c r="I127" s="18">
        <v>315000</v>
      </c>
    </row>
    <row r="128" spans="1:9" ht="14.5" x14ac:dyDescent="0.35">
      <c r="A128" s="16">
        <v>42736</v>
      </c>
      <c r="B128" t="s">
        <v>96</v>
      </c>
      <c r="C128">
        <v>2</v>
      </c>
      <c r="D128" t="s">
        <v>25</v>
      </c>
      <c r="E128">
        <v>3</v>
      </c>
      <c r="F128" t="s">
        <v>72</v>
      </c>
      <c r="G128" t="s">
        <v>19</v>
      </c>
      <c r="H128" s="18">
        <v>231000</v>
      </c>
      <c r="I128" s="18">
        <v>693000</v>
      </c>
    </row>
    <row r="129" spans="1:9" ht="14.5" x14ac:dyDescent="0.35">
      <c r="A129" s="16">
        <v>42736</v>
      </c>
      <c r="B129" t="s">
        <v>96</v>
      </c>
      <c r="C129">
        <v>3</v>
      </c>
      <c r="D129" t="s">
        <v>16</v>
      </c>
      <c r="E129">
        <v>3</v>
      </c>
      <c r="F129" t="s">
        <v>72</v>
      </c>
      <c r="G129" t="s">
        <v>17</v>
      </c>
      <c r="H129" s="18">
        <v>168000</v>
      </c>
      <c r="I129" s="18">
        <v>504000</v>
      </c>
    </row>
    <row r="130" spans="1:9" ht="14.5" x14ac:dyDescent="0.35">
      <c r="A130" s="16">
        <v>42736</v>
      </c>
      <c r="B130" t="s">
        <v>96</v>
      </c>
      <c r="C130">
        <v>4</v>
      </c>
      <c r="D130" t="s">
        <v>14</v>
      </c>
      <c r="E130">
        <v>2</v>
      </c>
      <c r="F130" t="s">
        <v>72</v>
      </c>
      <c r="G130" t="s">
        <v>15</v>
      </c>
      <c r="H130" s="18">
        <v>135000</v>
      </c>
      <c r="I130" s="18">
        <v>270000</v>
      </c>
    </row>
    <row r="131" spans="1:9" ht="14.5" x14ac:dyDescent="0.35">
      <c r="A131" s="16">
        <v>42736</v>
      </c>
      <c r="B131" t="s">
        <v>97</v>
      </c>
      <c r="C131">
        <v>1</v>
      </c>
      <c r="D131" t="s">
        <v>54</v>
      </c>
      <c r="E131">
        <v>3</v>
      </c>
      <c r="F131" t="s">
        <v>72</v>
      </c>
      <c r="G131" t="s">
        <v>32</v>
      </c>
      <c r="H131" s="18">
        <v>267000</v>
      </c>
      <c r="I131" s="18">
        <v>801000</v>
      </c>
    </row>
    <row r="132" spans="1:9" ht="14.5" x14ac:dyDescent="0.35">
      <c r="A132" s="16">
        <v>42736</v>
      </c>
      <c r="B132" t="s">
        <v>97</v>
      </c>
      <c r="C132">
        <v>2</v>
      </c>
      <c r="D132" t="s">
        <v>27</v>
      </c>
      <c r="E132">
        <v>1</v>
      </c>
      <c r="F132" t="s">
        <v>72</v>
      </c>
      <c r="G132" t="s">
        <v>17</v>
      </c>
      <c r="H132" s="18">
        <v>195000</v>
      </c>
      <c r="I132" s="18">
        <v>195000</v>
      </c>
    </row>
    <row r="133" spans="1:9" ht="14.5" x14ac:dyDescent="0.35">
      <c r="A133" s="16">
        <v>42736</v>
      </c>
      <c r="B133" t="s">
        <v>97</v>
      </c>
      <c r="C133">
        <v>3</v>
      </c>
      <c r="D133" t="s">
        <v>42</v>
      </c>
      <c r="E133">
        <v>2</v>
      </c>
      <c r="F133" t="s">
        <v>72</v>
      </c>
      <c r="G133" t="s">
        <v>19</v>
      </c>
      <c r="H133" s="18">
        <v>141000</v>
      </c>
      <c r="I133" s="18">
        <v>282000</v>
      </c>
    </row>
    <row r="134" spans="1:9" ht="14.5" x14ac:dyDescent="0.35">
      <c r="A134" s="16">
        <v>42736</v>
      </c>
      <c r="B134" t="s">
        <v>98</v>
      </c>
      <c r="C134">
        <v>1</v>
      </c>
      <c r="D134" t="s">
        <v>34</v>
      </c>
      <c r="E134">
        <v>3</v>
      </c>
      <c r="F134" t="s">
        <v>72</v>
      </c>
      <c r="G134" t="s">
        <v>13</v>
      </c>
      <c r="H134" s="18">
        <v>801000</v>
      </c>
      <c r="I134" s="18">
        <v>2403000</v>
      </c>
    </row>
    <row r="135" spans="1:9" ht="14.5" x14ac:dyDescent="0.35">
      <c r="A135" s="16">
        <v>42736</v>
      </c>
      <c r="B135" t="s">
        <v>98</v>
      </c>
      <c r="C135">
        <v>2</v>
      </c>
      <c r="D135" t="s">
        <v>39</v>
      </c>
      <c r="E135">
        <v>2</v>
      </c>
      <c r="F135" t="s">
        <v>72</v>
      </c>
      <c r="G135" t="s">
        <v>15</v>
      </c>
      <c r="H135" s="18">
        <v>75000</v>
      </c>
      <c r="I135" s="18">
        <v>150000</v>
      </c>
    </row>
    <row r="136" spans="1:9" ht="14.5" x14ac:dyDescent="0.35">
      <c r="A136" s="16">
        <v>42736</v>
      </c>
      <c r="B136" t="s">
        <v>99</v>
      </c>
      <c r="C136">
        <v>1</v>
      </c>
      <c r="D136" t="s">
        <v>35</v>
      </c>
      <c r="E136">
        <v>1</v>
      </c>
      <c r="F136" t="s">
        <v>72</v>
      </c>
      <c r="G136" t="s">
        <v>15</v>
      </c>
      <c r="H136" s="18">
        <v>21000</v>
      </c>
      <c r="I136" s="18">
        <v>21000</v>
      </c>
    </row>
    <row r="137" spans="1:9" ht="14.5" x14ac:dyDescent="0.35">
      <c r="A137" s="16">
        <v>42736</v>
      </c>
      <c r="B137" t="s">
        <v>100</v>
      </c>
      <c r="C137">
        <v>1</v>
      </c>
      <c r="D137" t="s">
        <v>39</v>
      </c>
      <c r="E137">
        <v>3</v>
      </c>
      <c r="F137" t="s">
        <v>72</v>
      </c>
      <c r="G137" t="s">
        <v>15</v>
      </c>
      <c r="H137" s="18">
        <v>75000</v>
      </c>
      <c r="I137" s="18">
        <v>225000</v>
      </c>
    </row>
    <row r="138" spans="1:9" ht="14.5" x14ac:dyDescent="0.35">
      <c r="A138" s="16">
        <v>42736</v>
      </c>
      <c r="B138" t="s">
        <v>100</v>
      </c>
      <c r="C138">
        <v>2</v>
      </c>
      <c r="D138" t="s">
        <v>42</v>
      </c>
      <c r="E138">
        <v>1</v>
      </c>
      <c r="F138" t="s">
        <v>72</v>
      </c>
      <c r="G138" t="s">
        <v>19</v>
      </c>
      <c r="H138" s="18">
        <v>141000</v>
      </c>
      <c r="I138" s="18">
        <v>141000</v>
      </c>
    </row>
    <row r="139" spans="1:9" ht="14.5" x14ac:dyDescent="0.35">
      <c r="A139" s="16">
        <v>42736</v>
      </c>
      <c r="B139" t="s">
        <v>100</v>
      </c>
      <c r="C139">
        <v>3</v>
      </c>
      <c r="D139" t="s">
        <v>18</v>
      </c>
      <c r="E139">
        <v>3</v>
      </c>
      <c r="F139" t="s">
        <v>72</v>
      </c>
      <c r="G139" t="s">
        <v>19</v>
      </c>
      <c r="H139" s="18">
        <v>135000</v>
      </c>
      <c r="I139" s="18">
        <v>405000</v>
      </c>
    </row>
    <row r="140" spans="1:9" ht="14.5" x14ac:dyDescent="0.35">
      <c r="A140" s="16">
        <v>42736</v>
      </c>
      <c r="B140" t="s">
        <v>101</v>
      </c>
      <c r="C140">
        <v>1</v>
      </c>
      <c r="D140" t="s">
        <v>35</v>
      </c>
      <c r="E140">
        <v>3</v>
      </c>
      <c r="F140" t="s">
        <v>72</v>
      </c>
      <c r="G140" t="s">
        <v>15</v>
      </c>
      <c r="H140" s="18">
        <v>21000</v>
      </c>
      <c r="I140" s="18">
        <v>63000</v>
      </c>
    </row>
    <row r="141" spans="1:9" ht="14.5" x14ac:dyDescent="0.35">
      <c r="A141" s="16">
        <v>42736</v>
      </c>
      <c r="B141" t="s">
        <v>101</v>
      </c>
      <c r="C141">
        <v>2</v>
      </c>
      <c r="D141" t="s">
        <v>46</v>
      </c>
      <c r="E141">
        <v>2</v>
      </c>
      <c r="F141" t="s">
        <v>72</v>
      </c>
      <c r="G141" t="s">
        <v>15</v>
      </c>
      <c r="H141" s="18">
        <v>105000</v>
      </c>
      <c r="I141" s="18">
        <v>210000</v>
      </c>
    </row>
    <row r="142" spans="1:9" ht="14.5" x14ac:dyDescent="0.35">
      <c r="A142" s="16">
        <v>42736</v>
      </c>
      <c r="B142" t="s">
        <v>102</v>
      </c>
      <c r="C142">
        <v>1</v>
      </c>
      <c r="D142" t="s">
        <v>27</v>
      </c>
      <c r="E142">
        <v>3</v>
      </c>
      <c r="F142" t="s">
        <v>72</v>
      </c>
      <c r="G142" t="s">
        <v>17</v>
      </c>
      <c r="H142" s="18">
        <v>195000</v>
      </c>
      <c r="I142" s="18">
        <v>585000</v>
      </c>
    </row>
    <row r="143" spans="1:9" ht="14.5" x14ac:dyDescent="0.35">
      <c r="A143" s="16">
        <v>42736</v>
      </c>
      <c r="B143" t="s">
        <v>103</v>
      </c>
      <c r="C143">
        <v>1</v>
      </c>
      <c r="D143" t="s">
        <v>88</v>
      </c>
      <c r="E143">
        <v>2</v>
      </c>
      <c r="F143" t="s">
        <v>72</v>
      </c>
      <c r="G143" t="s">
        <v>32</v>
      </c>
      <c r="H143" s="18">
        <v>276000</v>
      </c>
      <c r="I143" s="18">
        <v>552000</v>
      </c>
    </row>
    <row r="144" spans="1:9" ht="14.5" x14ac:dyDescent="0.35">
      <c r="A144" s="16">
        <v>42736</v>
      </c>
      <c r="B144" t="s">
        <v>103</v>
      </c>
      <c r="C144">
        <v>2</v>
      </c>
      <c r="D144" t="s">
        <v>21</v>
      </c>
      <c r="E144">
        <v>1</v>
      </c>
      <c r="F144" t="s">
        <v>72</v>
      </c>
      <c r="G144" t="s">
        <v>13</v>
      </c>
      <c r="H144" s="18">
        <v>192000</v>
      </c>
      <c r="I144" s="18">
        <v>192000</v>
      </c>
    </row>
    <row r="145" spans="1:9" ht="14.5" x14ac:dyDescent="0.35">
      <c r="A145" s="16">
        <v>42736</v>
      </c>
      <c r="B145" t="s">
        <v>103</v>
      </c>
      <c r="C145">
        <v>3</v>
      </c>
      <c r="D145" t="s">
        <v>21</v>
      </c>
      <c r="E145">
        <v>2</v>
      </c>
      <c r="F145" t="s">
        <v>72</v>
      </c>
      <c r="G145" t="s">
        <v>13</v>
      </c>
      <c r="H145" s="18">
        <v>192000</v>
      </c>
      <c r="I145" s="18">
        <v>384000</v>
      </c>
    </row>
    <row r="146" spans="1:9" ht="14.5" x14ac:dyDescent="0.35">
      <c r="A146" s="16">
        <v>42736</v>
      </c>
      <c r="B146" t="s">
        <v>104</v>
      </c>
      <c r="C146">
        <v>1</v>
      </c>
      <c r="D146" t="s">
        <v>48</v>
      </c>
      <c r="E146">
        <v>3</v>
      </c>
      <c r="F146" t="s">
        <v>72</v>
      </c>
      <c r="G146" t="s">
        <v>13</v>
      </c>
      <c r="H146" s="18">
        <v>165000</v>
      </c>
      <c r="I146" s="18">
        <v>495000</v>
      </c>
    </row>
    <row r="147" spans="1:9" ht="14.5" x14ac:dyDescent="0.35">
      <c r="A147" s="16">
        <v>42736</v>
      </c>
      <c r="B147" t="s">
        <v>105</v>
      </c>
      <c r="C147">
        <v>1</v>
      </c>
      <c r="D147" t="s">
        <v>35</v>
      </c>
      <c r="E147">
        <v>2</v>
      </c>
      <c r="F147" t="s">
        <v>72</v>
      </c>
      <c r="G147" t="s">
        <v>15</v>
      </c>
      <c r="H147" s="18">
        <v>21000</v>
      </c>
      <c r="I147" s="18">
        <v>42000</v>
      </c>
    </row>
    <row r="148" spans="1:9" ht="14.5" x14ac:dyDescent="0.35">
      <c r="A148" s="16">
        <v>42736</v>
      </c>
      <c r="B148" t="s">
        <v>105</v>
      </c>
      <c r="C148">
        <v>2</v>
      </c>
      <c r="D148" t="s">
        <v>31</v>
      </c>
      <c r="E148">
        <v>3</v>
      </c>
      <c r="F148" t="s">
        <v>72</v>
      </c>
      <c r="G148" t="s">
        <v>32</v>
      </c>
      <c r="H148" s="18">
        <v>597000</v>
      </c>
      <c r="I148" s="18">
        <v>1791000</v>
      </c>
    </row>
    <row r="149" spans="1:9" ht="14.5" x14ac:dyDescent="0.35">
      <c r="A149" s="16">
        <v>42736</v>
      </c>
      <c r="B149" t="s">
        <v>106</v>
      </c>
      <c r="C149">
        <v>1</v>
      </c>
      <c r="D149" t="s">
        <v>48</v>
      </c>
      <c r="E149">
        <v>1</v>
      </c>
      <c r="F149" t="s">
        <v>72</v>
      </c>
      <c r="G149" t="s">
        <v>13</v>
      </c>
      <c r="H149" s="18">
        <v>165000</v>
      </c>
      <c r="I149" s="18">
        <v>165000</v>
      </c>
    </row>
    <row r="150" spans="1:9" ht="14.5" x14ac:dyDescent="0.35">
      <c r="A150" s="16">
        <v>42736</v>
      </c>
      <c r="B150" t="s">
        <v>106</v>
      </c>
      <c r="C150">
        <v>2</v>
      </c>
      <c r="D150" t="s">
        <v>54</v>
      </c>
      <c r="E150">
        <v>1</v>
      </c>
      <c r="F150" t="s">
        <v>72</v>
      </c>
      <c r="G150" t="s">
        <v>32</v>
      </c>
      <c r="H150" s="18">
        <v>267000</v>
      </c>
      <c r="I150" s="18">
        <v>267000</v>
      </c>
    </row>
    <row r="151" spans="1:9" ht="14.5" x14ac:dyDescent="0.35">
      <c r="A151" s="16">
        <v>42736</v>
      </c>
      <c r="B151" t="s">
        <v>106</v>
      </c>
      <c r="C151">
        <v>3</v>
      </c>
      <c r="D151" t="s">
        <v>49</v>
      </c>
      <c r="E151">
        <v>1</v>
      </c>
      <c r="F151" t="s">
        <v>72</v>
      </c>
      <c r="G151" t="s">
        <v>15</v>
      </c>
      <c r="H151" s="18">
        <v>246000</v>
      </c>
      <c r="I151" s="18">
        <v>246000</v>
      </c>
    </row>
    <row r="152" spans="1:9" ht="14.5" x14ac:dyDescent="0.35">
      <c r="A152" s="16">
        <v>42736</v>
      </c>
      <c r="B152" t="s">
        <v>107</v>
      </c>
      <c r="C152">
        <v>1</v>
      </c>
      <c r="D152" t="s">
        <v>14</v>
      </c>
      <c r="E152">
        <v>2</v>
      </c>
      <c r="F152" t="s">
        <v>108</v>
      </c>
      <c r="G152" t="s">
        <v>15</v>
      </c>
      <c r="H152" s="18">
        <v>135000</v>
      </c>
      <c r="I152" s="18">
        <v>270000</v>
      </c>
    </row>
    <row r="153" spans="1:9" ht="14.5" x14ac:dyDescent="0.35">
      <c r="A153" s="16">
        <v>42736</v>
      </c>
      <c r="B153" t="s">
        <v>109</v>
      </c>
      <c r="C153">
        <v>1</v>
      </c>
      <c r="D153" t="s">
        <v>39</v>
      </c>
      <c r="E153">
        <v>2</v>
      </c>
      <c r="F153" t="s">
        <v>108</v>
      </c>
      <c r="G153" t="s">
        <v>15</v>
      </c>
      <c r="H153" s="18">
        <v>75000</v>
      </c>
      <c r="I153" s="18">
        <v>150000</v>
      </c>
    </row>
    <row r="154" spans="1:9" ht="14.5" x14ac:dyDescent="0.35">
      <c r="A154" s="16">
        <v>42736</v>
      </c>
      <c r="B154" t="s">
        <v>109</v>
      </c>
      <c r="C154">
        <v>2</v>
      </c>
      <c r="D154" t="s">
        <v>48</v>
      </c>
      <c r="E154">
        <v>2</v>
      </c>
      <c r="F154" t="s">
        <v>108</v>
      </c>
      <c r="G154" t="s">
        <v>13</v>
      </c>
      <c r="H154" s="18">
        <v>165000</v>
      </c>
      <c r="I154" s="18">
        <v>330000</v>
      </c>
    </row>
    <row r="155" spans="1:9" ht="14.5" x14ac:dyDescent="0.35">
      <c r="A155" s="16">
        <v>42736</v>
      </c>
      <c r="B155" t="s">
        <v>110</v>
      </c>
      <c r="C155">
        <v>1</v>
      </c>
      <c r="D155" t="s">
        <v>42</v>
      </c>
      <c r="E155">
        <v>3</v>
      </c>
      <c r="F155" t="s">
        <v>108</v>
      </c>
      <c r="G155" t="s">
        <v>19</v>
      </c>
      <c r="H155" s="18">
        <v>141000</v>
      </c>
      <c r="I155" s="18">
        <v>423000</v>
      </c>
    </row>
    <row r="156" spans="1:9" ht="14.5" x14ac:dyDescent="0.35">
      <c r="A156" s="16">
        <v>42736</v>
      </c>
      <c r="B156" t="s">
        <v>111</v>
      </c>
      <c r="C156">
        <v>1</v>
      </c>
      <c r="D156" t="s">
        <v>45</v>
      </c>
      <c r="E156">
        <v>1</v>
      </c>
      <c r="F156" t="s">
        <v>108</v>
      </c>
      <c r="G156" t="s">
        <v>32</v>
      </c>
      <c r="H156" s="18">
        <v>234000</v>
      </c>
      <c r="I156" s="18">
        <v>234000</v>
      </c>
    </row>
    <row r="157" spans="1:9" ht="14.5" x14ac:dyDescent="0.35">
      <c r="A157" s="16">
        <v>42736</v>
      </c>
      <c r="B157" t="s">
        <v>111</v>
      </c>
      <c r="C157">
        <v>2</v>
      </c>
      <c r="D157" t="s">
        <v>59</v>
      </c>
      <c r="E157">
        <v>1</v>
      </c>
      <c r="F157" t="s">
        <v>108</v>
      </c>
      <c r="G157" t="s">
        <v>13</v>
      </c>
      <c r="H157" s="18">
        <v>249000</v>
      </c>
      <c r="I157" s="18">
        <v>249000</v>
      </c>
    </row>
    <row r="158" spans="1:9" ht="14.5" x14ac:dyDescent="0.35">
      <c r="A158" s="16">
        <v>42736</v>
      </c>
      <c r="B158" t="s">
        <v>111</v>
      </c>
      <c r="C158">
        <v>3</v>
      </c>
      <c r="D158" t="s">
        <v>34</v>
      </c>
      <c r="E158">
        <v>2</v>
      </c>
      <c r="F158" t="s">
        <v>108</v>
      </c>
      <c r="G158" t="s">
        <v>13</v>
      </c>
      <c r="H158" s="18">
        <v>801000</v>
      </c>
      <c r="I158" s="18">
        <v>1602000</v>
      </c>
    </row>
    <row r="159" spans="1:9" ht="14.5" x14ac:dyDescent="0.35">
      <c r="A159" s="16">
        <v>42736</v>
      </c>
      <c r="B159" t="s">
        <v>111</v>
      </c>
      <c r="C159">
        <v>4</v>
      </c>
      <c r="D159" t="s">
        <v>48</v>
      </c>
      <c r="E159">
        <v>3</v>
      </c>
      <c r="F159" t="s">
        <v>108</v>
      </c>
      <c r="G159" t="s">
        <v>13</v>
      </c>
      <c r="H159" s="18">
        <v>165000</v>
      </c>
      <c r="I159" s="18">
        <v>495000</v>
      </c>
    </row>
    <row r="160" spans="1:9" ht="14.5" x14ac:dyDescent="0.35">
      <c r="A160" s="16">
        <v>42736</v>
      </c>
      <c r="B160" t="s">
        <v>112</v>
      </c>
      <c r="C160">
        <v>1</v>
      </c>
      <c r="D160" t="s">
        <v>84</v>
      </c>
      <c r="E160">
        <v>2</v>
      </c>
      <c r="F160" t="s">
        <v>108</v>
      </c>
      <c r="G160" t="s">
        <v>32</v>
      </c>
      <c r="H160" s="18">
        <v>705000</v>
      </c>
      <c r="I160" s="18">
        <v>1410000</v>
      </c>
    </row>
    <row r="161" spans="1:9" ht="14.5" x14ac:dyDescent="0.35">
      <c r="A161" s="16">
        <v>42736</v>
      </c>
      <c r="B161" t="s">
        <v>113</v>
      </c>
      <c r="C161">
        <v>1</v>
      </c>
      <c r="D161" t="s">
        <v>53</v>
      </c>
      <c r="E161">
        <v>3</v>
      </c>
      <c r="F161" t="s">
        <v>108</v>
      </c>
      <c r="G161" t="s">
        <v>17</v>
      </c>
      <c r="H161" s="18">
        <v>402000</v>
      </c>
      <c r="I161" s="18">
        <v>1206000</v>
      </c>
    </row>
    <row r="162" spans="1:9" ht="14.5" x14ac:dyDescent="0.35">
      <c r="A162" s="16">
        <v>42736</v>
      </c>
      <c r="B162" t="s">
        <v>113</v>
      </c>
      <c r="C162">
        <v>2</v>
      </c>
      <c r="D162" t="s">
        <v>21</v>
      </c>
      <c r="E162">
        <v>2</v>
      </c>
      <c r="F162" t="s">
        <v>108</v>
      </c>
      <c r="G162" t="s">
        <v>13</v>
      </c>
      <c r="H162" s="18">
        <v>192000</v>
      </c>
      <c r="I162" s="18">
        <v>384000</v>
      </c>
    </row>
    <row r="163" spans="1:9" ht="14.5" x14ac:dyDescent="0.35">
      <c r="A163" s="16">
        <v>42736</v>
      </c>
      <c r="B163" t="s">
        <v>113</v>
      </c>
      <c r="C163">
        <v>3</v>
      </c>
      <c r="D163" t="s">
        <v>18</v>
      </c>
      <c r="E163">
        <v>1</v>
      </c>
      <c r="F163" t="s">
        <v>108</v>
      </c>
      <c r="G163" t="s">
        <v>19</v>
      </c>
      <c r="H163" s="18">
        <v>135000</v>
      </c>
      <c r="I163" s="18">
        <v>135000</v>
      </c>
    </row>
    <row r="164" spans="1:9" ht="14.5" x14ac:dyDescent="0.35">
      <c r="A164" s="16">
        <v>42736</v>
      </c>
      <c r="B164" t="s">
        <v>113</v>
      </c>
      <c r="C164">
        <v>4</v>
      </c>
      <c r="D164" t="s">
        <v>16</v>
      </c>
      <c r="E164">
        <v>1</v>
      </c>
      <c r="F164" t="s">
        <v>108</v>
      </c>
      <c r="G164" t="s">
        <v>17</v>
      </c>
      <c r="H164" s="18">
        <v>168000</v>
      </c>
      <c r="I164" s="18">
        <v>168000</v>
      </c>
    </row>
    <row r="165" spans="1:9" ht="14.5" x14ac:dyDescent="0.35">
      <c r="A165" s="16">
        <v>42736</v>
      </c>
      <c r="B165" t="s">
        <v>114</v>
      </c>
      <c r="C165">
        <v>1</v>
      </c>
      <c r="D165" t="s">
        <v>42</v>
      </c>
      <c r="E165">
        <v>2</v>
      </c>
      <c r="F165" t="s">
        <v>108</v>
      </c>
      <c r="G165" t="s">
        <v>19</v>
      </c>
      <c r="H165" s="18">
        <v>141000</v>
      </c>
      <c r="I165" s="18">
        <v>282000</v>
      </c>
    </row>
    <row r="166" spans="1:9" ht="14.5" x14ac:dyDescent="0.35">
      <c r="A166" s="16">
        <v>42736</v>
      </c>
      <c r="B166" t="s">
        <v>115</v>
      </c>
      <c r="C166">
        <v>1</v>
      </c>
      <c r="D166" t="s">
        <v>45</v>
      </c>
      <c r="E166">
        <v>1</v>
      </c>
      <c r="F166" t="s">
        <v>108</v>
      </c>
      <c r="G166" t="s">
        <v>32</v>
      </c>
      <c r="H166" s="18">
        <v>234000</v>
      </c>
      <c r="I166" s="18">
        <v>234000</v>
      </c>
    </row>
    <row r="167" spans="1:9" ht="14.5" x14ac:dyDescent="0.35">
      <c r="A167" s="16">
        <v>42736</v>
      </c>
      <c r="B167" t="s">
        <v>115</v>
      </c>
      <c r="C167">
        <v>2</v>
      </c>
      <c r="D167" t="s">
        <v>48</v>
      </c>
      <c r="E167">
        <v>2</v>
      </c>
      <c r="F167" t="s">
        <v>108</v>
      </c>
      <c r="G167" t="s">
        <v>13</v>
      </c>
      <c r="H167" s="18">
        <v>165000</v>
      </c>
      <c r="I167" s="18">
        <v>330000</v>
      </c>
    </row>
    <row r="168" spans="1:9" ht="14.5" x14ac:dyDescent="0.35">
      <c r="A168" s="16">
        <v>42736</v>
      </c>
      <c r="B168" t="s">
        <v>116</v>
      </c>
      <c r="C168">
        <v>1</v>
      </c>
      <c r="D168" t="s">
        <v>59</v>
      </c>
      <c r="E168">
        <v>3</v>
      </c>
      <c r="F168" t="s">
        <v>108</v>
      </c>
      <c r="G168" t="s">
        <v>13</v>
      </c>
      <c r="H168" s="18">
        <v>249000</v>
      </c>
      <c r="I168" s="18">
        <v>747000</v>
      </c>
    </row>
    <row r="169" spans="1:9" ht="14.5" x14ac:dyDescent="0.35">
      <c r="A169" s="16">
        <v>42736</v>
      </c>
      <c r="B169" t="s">
        <v>116</v>
      </c>
      <c r="C169">
        <v>2</v>
      </c>
      <c r="D169" t="s">
        <v>37</v>
      </c>
      <c r="E169">
        <v>1</v>
      </c>
      <c r="F169" t="s">
        <v>108</v>
      </c>
      <c r="G169" t="s">
        <v>19</v>
      </c>
      <c r="H169" s="18">
        <v>195000</v>
      </c>
      <c r="I169" s="18">
        <v>195000</v>
      </c>
    </row>
    <row r="170" spans="1:9" ht="14.5" x14ac:dyDescent="0.35">
      <c r="A170" s="16">
        <v>42736</v>
      </c>
      <c r="B170" t="s">
        <v>117</v>
      </c>
      <c r="C170">
        <v>1</v>
      </c>
      <c r="D170" t="s">
        <v>88</v>
      </c>
      <c r="E170">
        <v>3</v>
      </c>
      <c r="F170" t="s">
        <v>108</v>
      </c>
      <c r="G170" t="s">
        <v>32</v>
      </c>
      <c r="H170" s="18">
        <v>276000</v>
      </c>
      <c r="I170" s="18">
        <v>828000</v>
      </c>
    </row>
    <row r="171" spans="1:9" ht="14.5" x14ac:dyDescent="0.35">
      <c r="A171" s="16">
        <v>42736</v>
      </c>
      <c r="B171" t="s">
        <v>117</v>
      </c>
      <c r="C171">
        <v>2</v>
      </c>
      <c r="D171" t="s">
        <v>63</v>
      </c>
      <c r="E171">
        <v>1</v>
      </c>
      <c r="F171" t="s">
        <v>108</v>
      </c>
      <c r="G171" t="s">
        <v>19</v>
      </c>
      <c r="H171" s="18">
        <v>132000</v>
      </c>
      <c r="I171" s="18">
        <v>132000</v>
      </c>
    </row>
    <row r="172" spans="1:9" ht="14.5" x14ac:dyDescent="0.35">
      <c r="A172" s="16">
        <v>42736</v>
      </c>
      <c r="B172" t="s">
        <v>117</v>
      </c>
      <c r="C172">
        <v>3</v>
      </c>
      <c r="D172" t="s">
        <v>34</v>
      </c>
      <c r="E172">
        <v>1</v>
      </c>
      <c r="F172" t="s">
        <v>108</v>
      </c>
      <c r="G172" t="s">
        <v>13</v>
      </c>
      <c r="H172" s="18">
        <v>801000</v>
      </c>
      <c r="I172" s="18">
        <v>801000</v>
      </c>
    </row>
    <row r="173" spans="1:9" ht="14.5" x14ac:dyDescent="0.35">
      <c r="A173" s="16">
        <v>42736</v>
      </c>
      <c r="B173" t="s">
        <v>118</v>
      </c>
      <c r="C173">
        <v>1</v>
      </c>
      <c r="D173" t="s">
        <v>18</v>
      </c>
      <c r="E173">
        <v>3</v>
      </c>
      <c r="F173" t="s">
        <v>108</v>
      </c>
      <c r="G173" t="s">
        <v>19</v>
      </c>
      <c r="H173" s="18">
        <v>135000</v>
      </c>
      <c r="I173" s="18">
        <v>405000</v>
      </c>
    </row>
    <row r="174" spans="1:9" ht="14.5" x14ac:dyDescent="0.35">
      <c r="A174" s="16">
        <v>42736</v>
      </c>
      <c r="B174" t="s">
        <v>118</v>
      </c>
      <c r="C174">
        <v>2</v>
      </c>
      <c r="D174" t="s">
        <v>18</v>
      </c>
      <c r="E174">
        <v>3</v>
      </c>
      <c r="F174" t="s">
        <v>108</v>
      </c>
      <c r="G174" t="s">
        <v>19</v>
      </c>
      <c r="H174" s="18">
        <v>135000</v>
      </c>
      <c r="I174" s="18">
        <v>405000</v>
      </c>
    </row>
    <row r="175" spans="1:9" ht="14.5" x14ac:dyDescent="0.35">
      <c r="A175" s="16">
        <v>42736</v>
      </c>
      <c r="B175" t="s">
        <v>118</v>
      </c>
      <c r="C175">
        <v>3</v>
      </c>
      <c r="D175" t="s">
        <v>23</v>
      </c>
      <c r="E175">
        <v>2</v>
      </c>
      <c r="F175" t="s">
        <v>108</v>
      </c>
      <c r="G175" t="s">
        <v>17</v>
      </c>
      <c r="H175" s="18">
        <v>288000</v>
      </c>
      <c r="I175" s="18">
        <v>576000</v>
      </c>
    </row>
    <row r="176" spans="1:9" ht="14.5" x14ac:dyDescent="0.35">
      <c r="A176" s="16">
        <v>42736</v>
      </c>
      <c r="B176" t="s">
        <v>119</v>
      </c>
      <c r="C176">
        <v>1</v>
      </c>
      <c r="D176" t="s">
        <v>16</v>
      </c>
      <c r="E176">
        <v>1</v>
      </c>
      <c r="F176" t="s">
        <v>108</v>
      </c>
      <c r="G176" t="s">
        <v>17</v>
      </c>
      <c r="H176" s="18">
        <v>168000</v>
      </c>
      <c r="I176" s="18">
        <v>168000</v>
      </c>
    </row>
    <row r="177" spans="1:9" ht="14.5" x14ac:dyDescent="0.35">
      <c r="A177" s="16">
        <v>42736</v>
      </c>
      <c r="B177" t="s">
        <v>119</v>
      </c>
      <c r="C177">
        <v>2</v>
      </c>
      <c r="D177" t="s">
        <v>42</v>
      </c>
      <c r="E177">
        <v>2</v>
      </c>
      <c r="F177" t="s">
        <v>108</v>
      </c>
      <c r="G177" t="s">
        <v>19</v>
      </c>
      <c r="H177" s="18">
        <v>141000</v>
      </c>
      <c r="I177" s="18">
        <v>282000</v>
      </c>
    </row>
    <row r="178" spans="1:9" ht="14.5" x14ac:dyDescent="0.35">
      <c r="A178" s="16">
        <v>42736</v>
      </c>
      <c r="B178" t="s">
        <v>120</v>
      </c>
      <c r="C178">
        <v>1</v>
      </c>
      <c r="D178" t="s">
        <v>84</v>
      </c>
      <c r="E178">
        <v>2</v>
      </c>
      <c r="F178" t="s">
        <v>108</v>
      </c>
      <c r="G178" t="s">
        <v>32</v>
      </c>
      <c r="H178" s="18">
        <v>705000</v>
      </c>
      <c r="I178" s="18">
        <v>1410000</v>
      </c>
    </row>
    <row r="179" spans="1:9" ht="14.5" x14ac:dyDescent="0.35">
      <c r="A179" s="16">
        <v>42736</v>
      </c>
      <c r="B179" t="s">
        <v>120</v>
      </c>
      <c r="C179">
        <v>2</v>
      </c>
      <c r="D179" t="s">
        <v>27</v>
      </c>
      <c r="E179">
        <v>2</v>
      </c>
      <c r="F179" t="s">
        <v>108</v>
      </c>
      <c r="G179" t="s">
        <v>17</v>
      </c>
      <c r="H179" s="18">
        <v>195000</v>
      </c>
      <c r="I179" s="18">
        <v>390000</v>
      </c>
    </row>
    <row r="180" spans="1:9" ht="14.5" x14ac:dyDescent="0.35">
      <c r="A180" s="16">
        <v>42736</v>
      </c>
      <c r="B180" t="s">
        <v>121</v>
      </c>
      <c r="C180">
        <v>1</v>
      </c>
      <c r="D180" t="s">
        <v>27</v>
      </c>
      <c r="E180">
        <v>1</v>
      </c>
      <c r="F180" t="s">
        <v>108</v>
      </c>
      <c r="G180" t="s">
        <v>17</v>
      </c>
      <c r="H180" s="18">
        <v>195000</v>
      </c>
      <c r="I180" s="18">
        <v>195000</v>
      </c>
    </row>
    <row r="181" spans="1:9" ht="14.5" x14ac:dyDescent="0.35">
      <c r="A181" s="16">
        <v>42736</v>
      </c>
      <c r="B181" t="s">
        <v>121</v>
      </c>
      <c r="C181">
        <v>2</v>
      </c>
      <c r="D181" t="s">
        <v>49</v>
      </c>
      <c r="E181">
        <v>3</v>
      </c>
      <c r="F181" t="s">
        <v>108</v>
      </c>
      <c r="G181" t="s">
        <v>15</v>
      </c>
      <c r="H181" s="18">
        <v>246000</v>
      </c>
      <c r="I181" s="18">
        <v>738000</v>
      </c>
    </row>
    <row r="182" spans="1:9" ht="14.5" x14ac:dyDescent="0.35">
      <c r="A182" s="16">
        <v>42736</v>
      </c>
      <c r="B182" t="s">
        <v>122</v>
      </c>
      <c r="C182">
        <v>1</v>
      </c>
      <c r="D182" t="s">
        <v>45</v>
      </c>
      <c r="E182">
        <v>1</v>
      </c>
      <c r="F182" t="s">
        <v>108</v>
      </c>
      <c r="G182" t="s">
        <v>32</v>
      </c>
      <c r="H182" s="18">
        <v>234000</v>
      </c>
      <c r="I182" s="18">
        <v>234000</v>
      </c>
    </row>
    <row r="183" spans="1:9" ht="14.5" x14ac:dyDescent="0.35">
      <c r="A183" s="16">
        <v>42736</v>
      </c>
      <c r="B183" t="s">
        <v>122</v>
      </c>
      <c r="C183">
        <v>2</v>
      </c>
      <c r="D183" t="s">
        <v>84</v>
      </c>
      <c r="E183">
        <v>2</v>
      </c>
      <c r="F183" t="s">
        <v>108</v>
      </c>
      <c r="G183" t="s">
        <v>32</v>
      </c>
      <c r="H183" s="18">
        <v>705000</v>
      </c>
      <c r="I183" s="18">
        <v>1410000</v>
      </c>
    </row>
    <row r="184" spans="1:9" ht="14.5" x14ac:dyDescent="0.35">
      <c r="A184" s="16">
        <v>42736</v>
      </c>
      <c r="B184" t="s">
        <v>122</v>
      </c>
      <c r="C184">
        <v>3</v>
      </c>
      <c r="D184" t="s">
        <v>88</v>
      </c>
      <c r="E184">
        <v>2</v>
      </c>
      <c r="F184" t="s">
        <v>108</v>
      </c>
      <c r="G184" t="s">
        <v>32</v>
      </c>
      <c r="H184" s="18">
        <v>276000</v>
      </c>
      <c r="I184" s="18">
        <v>552000</v>
      </c>
    </row>
    <row r="185" spans="1:9" ht="14.5" x14ac:dyDescent="0.35">
      <c r="A185" s="16">
        <v>42736</v>
      </c>
      <c r="B185" t="s">
        <v>122</v>
      </c>
      <c r="C185">
        <v>4</v>
      </c>
      <c r="D185" t="s">
        <v>46</v>
      </c>
      <c r="E185">
        <v>2</v>
      </c>
      <c r="F185" t="s">
        <v>108</v>
      </c>
      <c r="G185" t="s">
        <v>15</v>
      </c>
      <c r="H185" s="18">
        <v>105000</v>
      </c>
      <c r="I185" s="18">
        <v>210000</v>
      </c>
    </row>
    <row r="186" spans="1:9" ht="14.5" x14ac:dyDescent="0.35">
      <c r="A186" s="16">
        <v>42736</v>
      </c>
      <c r="B186" t="s">
        <v>123</v>
      </c>
      <c r="C186">
        <v>1</v>
      </c>
      <c r="D186" t="s">
        <v>14</v>
      </c>
      <c r="E186">
        <v>1</v>
      </c>
      <c r="F186" t="s">
        <v>108</v>
      </c>
      <c r="G186" t="s">
        <v>15</v>
      </c>
      <c r="H186" s="18">
        <v>135000</v>
      </c>
      <c r="I186" s="18">
        <v>135000</v>
      </c>
    </row>
    <row r="187" spans="1:9" ht="14.5" x14ac:dyDescent="0.35">
      <c r="A187" s="16">
        <v>42736</v>
      </c>
      <c r="B187" t="s">
        <v>123</v>
      </c>
      <c r="C187">
        <v>2</v>
      </c>
      <c r="D187" t="s">
        <v>63</v>
      </c>
      <c r="E187">
        <v>3</v>
      </c>
      <c r="F187" t="s">
        <v>108</v>
      </c>
      <c r="G187" t="s">
        <v>19</v>
      </c>
      <c r="H187" s="18">
        <v>132000</v>
      </c>
      <c r="I187" s="18">
        <v>396000</v>
      </c>
    </row>
    <row r="188" spans="1:9" ht="14.5" x14ac:dyDescent="0.35">
      <c r="A188" s="16">
        <v>42736</v>
      </c>
      <c r="B188" t="s">
        <v>123</v>
      </c>
      <c r="C188">
        <v>3</v>
      </c>
      <c r="D188" t="s">
        <v>49</v>
      </c>
      <c r="E188">
        <v>3</v>
      </c>
      <c r="F188" t="s">
        <v>108</v>
      </c>
      <c r="G188" t="s">
        <v>15</v>
      </c>
      <c r="H188" s="18">
        <v>246000</v>
      </c>
      <c r="I188" s="18">
        <v>738000</v>
      </c>
    </row>
    <row r="189" spans="1:9" ht="14.5" x14ac:dyDescent="0.35">
      <c r="A189" s="16">
        <v>42736</v>
      </c>
      <c r="B189" t="s">
        <v>124</v>
      </c>
      <c r="C189">
        <v>1</v>
      </c>
      <c r="D189" t="s">
        <v>23</v>
      </c>
      <c r="E189">
        <v>1</v>
      </c>
      <c r="F189" t="s">
        <v>108</v>
      </c>
      <c r="G189" t="s">
        <v>17</v>
      </c>
      <c r="H189" s="18">
        <v>288000</v>
      </c>
      <c r="I189" s="18">
        <v>288000</v>
      </c>
    </row>
    <row r="190" spans="1:9" ht="14.5" x14ac:dyDescent="0.35">
      <c r="A190" s="16">
        <v>42736</v>
      </c>
      <c r="B190" t="s">
        <v>124</v>
      </c>
      <c r="C190">
        <v>2</v>
      </c>
      <c r="D190" t="s">
        <v>84</v>
      </c>
      <c r="E190">
        <v>2</v>
      </c>
      <c r="F190" t="s">
        <v>108</v>
      </c>
      <c r="G190" t="s">
        <v>32</v>
      </c>
      <c r="H190" s="18">
        <v>705000</v>
      </c>
      <c r="I190" s="18">
        <v>1410000</v>
      </c>
    </row>
    <row r="191" spans="1:9" ht="14.5" x14ac:dyDescent="0.35">
      <c r="A191" s="16">
        <v>42736</v>
      </c>
      <c r="B191" t="s">
        <v>125</v>
      </c>
      <c r="C191">
        <v>1</v>
      </c>
      <c r="D191" t="s">
        <v>14</v>
      </c>
      <c r="E191">
        <v>1</v>
      </c>
      <c r="F191" t="s">
        <v>108</v>
      </c>
      <c r="G191" t="s">
        <v>15</v>
      </c>
      <c r="H191" s="18">
        <v>135000</v>
      </c>
      <c r="I191" s="18">
        <v>135000</v>
      </c>
    </row>
    <row r="192" spans="1:9" ht="14.5" x14ac:dyDescent="0.35">
      <c r="A192" s="16">
        <v>42736</v>
      </c>
      <c r="B192" t="s">
        <v>125</v>
      </c>
      <c r="C192">
        <v>2</v>
      </c>
      <c r="D192" t="s">
        <v>88</v>
      </c>
      <c r="E192">
        <v>2</v>
      </c>
      <c r="F192" t="s">
        <v>108</v>
      </c>
      <c r="G192" t="s">
        <v>32</v>
      </c>
      <c r="H192" s="18">
        <v>276000</v>
      </c>
      <c r="I192" s="18">
        <v>552000</v>
      </c>
    </row>
    <row r="193" spans="1:9" ht="14.5" x14ac:dyDescent="0.35">
      <c r="A193" s="16">
        <v>42736</v>
      </c>
      <c r="B193" t="s">
        <v>125</v>
      </c>
      <c r="C193">
        <v>3</v>
      </c>
      <c r="D193" t="s">
        <v>88</v>
      </c>
      <c r="E193">
        <v>3</v>
      </c>
      <c r="F193" t="s">
        <v>108</v>
      </c>
      <c r="G193" t="s">
        <v>32</v>
      </c>
      <c r="H193" s="18">
        <v>276000</v>
      </c>
      <c r="I193" s="18">
        <v>828000</v>
      </c>
    </row>
    <row r="194" spans="1:9" ht="14.5" x14ac:dyDescent="0.35">
      <c r="A194" s="16">
        <v>42736</v>
      </c>
      <c r="B194" t="s">
        <v>125</v>
      </c>
      <c r="C194">
        <v>4</v>
      </c>
      <c r="D194" t="s">
        <v>31</v>
      </c>
      <c r="E194">
        <v>2</v>
      </c>
      <c r="F194" t="s">
        <v>108</v>
      </c>
      <c r="G194" t="s">
        <v>32</v>
      </c>
      <c r="H194" s="18">
        <v>597000</v>
      </c>
      <c r="I194" s="18">
        <v>1194000</v>
      </c>
    </row>
    <row r="195" spans="1:9" ht="14.5" x14ac:dyDescent="0.35">
      <c r="A195" s="16">
        <v>42736</v>
      </c>
      <c r="B195" t="s">
        <v>126</v>
      </c>
      <c r="C195">
        <v>1</v>
      </c>
      <c r="D195" t="s">
        <v>46</v>
      </c>
      <c r="E195">
        <v>3</v>
      </c>
      <c r="F195" t="s">
        <v>108</v>
      </c>
      <c r="G195" t="s">
        <v>15</v>
      </c>
      <c r="H195" s="18">
        <v>105000</v>
      </c>
      <c r="I195" s="18">
        <v>315000</v>
      </c>
    </row>
    <row r="196" spans="1:9" ht="14.5" x14ac:dyDescent="0.35">
      <c r="A196" s="16">
        <v>42736</v>
      </c>
      <c r="B196" t="s">
        <v>126</v>
      </c>
      <c r="C196">
        <v>2</v>
      </c>
      <c r="D196" t="s">
        <v>23</v>
      </c>
      <c r="E196">
        <v>2</v>
      </c>
      <c r="F196" t="s">
        <v>108</v>
      </c>
      <c r="G196" t="s">
        <v>17</v>
      </c>
      <c r="H196" s="18">
        <v>288000</v>
      </c>
      <c r="I196" s="18">
        <v>576000</v>
      </c>
    </row>
    <row r="197" spans="1:9" ht="14.5" x14ac:dyDescent="0.35">
      <c r="A197" s="16">
        <v>42736</v>
      </c>
      <c r="B197" t="s">
        <v>127</v>
      </c>
      <c r="C197">
        <v>1</v>
      </c>
      <c r="D197" t="s">
        <v>54</v>
      </c>
      <c r="E197">
        <v>2</v>
      </c>
      <c r="F197" t="s">
        <v>108</v>
      </c>
      <c r="G197" t="s">
        <v>32</v>
      </c>
      <c r="H197" s="18">
        <v>267000</v>
      </c>
      <c r="I197" s="18">
        <v>534000</v>
      </c>
    </row>
    <row r="198" spans="1:9" ht="14.5" x14ac:dyDescent="0.35">
      <c r="A198" s="16">
        <v>42736</v>
      </c>
      <c r="B198" t="s">
        <v>128</v>
      </c>
      <c r="C198">
        <v>1</v>
      </c>
      <c r="D198" t="s">
        <v>84</v>
      </c>
      <c r="E198">
        <v>3</v>
      </c>
      <c r="F198" t="s">
        <v>108</v>
      </c>
      <c r="G198" t="s">
        <v>32</v>
      </c>
      <c r="H198" s="18">
        <v>705000</v>
      </c>
      <c r="I198" s="18">
        <v>2115000</v>
      </c>
    </row>
    <row r="199" spans="1:9" ht="14.5" x14ac:dyDescent="0.35">
      <c r="A199" s="16">
        <v>42736</v>
      </c>
      <c r="B199" t="s">
        <v>128</v>
      </c>
      <c r="C199">
        <v>2</v>
      </c>
      <c r="D199" t="s">
        <v>35</v>
      </c>
      <c r="E199">
        <v>3</v>
      </c>
      <c r="F199" t="s">
        <v>108</v>
      </c>
      <c r="G199" t="s">
        <v>15</v>
      </c>
      <c r="H199" s="18">
        <v>21000</v>
      </c>
      <c r="I199" s="18">
        <v>63000</v>
      </c>
    </row>
    <row r="200" spans="1:9" ht="14.5" x14ac:dyDescent="0.35">
      <c r="A200" s="16">
        <v>42736</v>
      </c>
      <c r="B200" t="s">
        <v>128</v>
      </c>
      <c r="C200">
        <v>3</v>
      </c>
      <c r="D200" t="s">
        <v>23</v>
      </c>
      <c r="E200">
        <v>2</v>
      </c>
      <c r="F200" t="s">
        <v>108</v>
      </c>
      <c r="G200" t="s">
        <v>17</v>
      </c>
      <c r="H200" s="18">
        <v>288000</v>
      </c>
      <c r="I200" s="18">
        <v>576000</v>
      </c>
    </row>
    <row r="201" spans="1:9" ht="14.5" x14ac:dyDescent="0.35">
      <c r="A201" s="16">
        <v>42736</v>
      </c>
      <c r="B201" t="s">
        <v>128</v>
      </c>
      <c r="C201">
        <v>4</v>
      </c>
      <c r="D201" t="s">
        <v>53</v>
      </c>
      <c r="E201">
        <v>2</v>
      </c>
      <c r="F201" t="s">
        <v>108</v>
      </c>
      <c r="G201" t="s">
        <v>17</v>
      </c>
      <c r="H201" s="18">
        <v>402000</v>
      </c>
      <c r="I201" s="18">
        <v>804000</v>
      </c>
    </row>
    <row r="202" spans="1:9" ht="14.5" x14ac:dyDescent="0.35">
      <c r="A202" s="16">
        <v>42736</v>
      </c>
      <c r="B202" t="s">
        <v>129</v>
      </c>
      <c r="C202">
        <v>1</v>
      </c>
      <c r="D202" t="s">
        <v>11</v>
      </c>
      <c r="E202">
        <v>1</v>
      </c>
      <c r="F202" t="s">
        <v>108</v>
      </c>
      <c r="G202" t="s">
        <v>13</v>
      </c>
      <c r="H202" s="18">
        <v>231000</v>
      </c>
      <c r="I202" s="18">
        <v>231000</v>
      </c>
    </row>
    <row r="203" spans="1:9" ht="14.5" x14ac:dyDescent="0.35">
      <c r="A203" s="16">
        <v>42736</v>
      </c>
      <c r="B203" t="s">
        <v>129</v>
      </c>
      <c r="C203">
        <v>2</v>
      </c>
      <c r="D203" t="s">
        <v>23</v>
      </c>
      <c r="E203">
        <v>3</v>
      </c>
      <c r="F203" t="s">
        <v>108</v>
      </c>
      <c r="G203" t="s">
        <v>17</v>
      </c>
      <c r="H203" s="18">
        <v>288000</v>
      </c>
      <c r="I203" s="18">
        <v>864000</v>
      </c>
    </row>
    <row r="204" spans="1:9" ht="14.5" x14ac:dyDescent="0.35">
      <c r="A204" s="16">
        <v>42736</v>
      </c>
      <c r="B204" t="s">
        <v>129</v>
      </c>
      <c r="C204">
        <v>3</v>
      </c>
      <c r="D204" t="s">
        <v>63</v>
      </c>
      <c r="E204">
        <v>2</v>
      </c>
      <c r="F204" t="s">
        <v>108</v>
      </c>
      <c r="G204" t="s">
        <v>19</v>
      </c>
      <c r="H204" s="18">
        <v>132000</v>
      </c>
      <c r="I204" s="18">
        <v>264000</v>
      </c>
    </row>
    <row r="205" spans="1:9" ht="14.5" x14ac:dyDescent="0.35">
      <c r="A205" s="16">
        <v>42736</v>
      </c>
      <c r="B205" t="s">
        <v>130</v>
      </c>
      <c r="C205">
        <v>1</v>
      </c>
      <c r="D205" t="s">
        <v>49</v>
      </c>
      <c r="E205">
        <v>3</v>
      </c>
      <c r="F205" t="s">
        <v>108</v>
      </c>
      <c r="G205" t="s">
        <v>15</v>
      </c>
      <c r="H205" s="18">
        <v>246000</v>
      </c>
      <c r="I205" s="18">
        <v>738000</v>
      </c>
    </row>
    <row r="206" spans="1:9" ht="14.5" x14ac:dyDescent="0.35">
      <c r="A206" s="16">
        <v>42736</v>
      </c>
      <c r="B206" t="s">
        <v>130</v>
      </c>
      <c r="C206">
        <v>2</v>
      </c>
      <c r="D206" t="s">
        <v>88</v>
      </c>
      <c r="E206">
        <v>3</v>
      </c>
      <c r="F206" t="s">
        <v>108</v>
      </c>
      <c r="G206" t="s">
        <v>32</v>
      </c>
      <c r="H206" s="18">
        <v>276000</v>
      </c>
      <c r="I206" s="18">
        <v>828000</v>
      </c>
    </row>
    <row r="207" spans="1:9" ht="14.5" x14ac:dyDescent="0.35">
      <c r="A207" s="16">
        <v>42736</v>
      </c>
      <c r="B207" t="s">
        <v>130</v>
      </c>
      <c r="C207">
        <v>3</v>
      </c>
      <c r="D207" t="s">
        <v>84</v>
      </c>
      <c r="E207">
        <v>3</v>
      </c>
      <c r="F207" t="s">
        <v>108</v>
      </c>
      <c r="G207" t="s">
        <v>32</v>
      </c>
      <c r="H207" s="18">
        <v>705000</v>
      </c>
      <c r="I207" s="18">
        <v>2115000</v>
      </c>
    </row>
    <row r="208" spans="1:9" ht="14.5" x14ac:dyDescent="0.35">
      <c r="A208" s="16">
        <v>42736</v>
      </c>
      <c r="B208" t="s">
        <v>131</v>
      </c>
      <c r="C208">
        <v>1</v>
      </c>
      <c r="D208" t="s">
        <v>16</v>
      </c>
      <c r="E208">
        <v>3</v>
      </c>
      <c r="F208" t="s">
        <v>108</v>
      </c>
      <c r="G208" t="s">
        <v>17</v>
      </c>
      <c r="H208" s="18">
        <v>168000</v>
      </c>
      <c r="I208" s="18">
        <v>504000</v>
      </c>
    </row>
    <row r="209" spans="1:9" ht="14.5" x14ac:dyDescent="0.35">
      <c r="A209" s="16">
        <v>42736</v>
      </c>
      <c r="B209" t="s">
        <v>132</v>
      </c>
      <c r="C209">
        <v>1</v>
      </c>
      <c r="D209" t="s">
        <v>14</v>
      </c>
      <c r="E209">
        <v>1</v>
      </c>
      <c r="F209" t="s">
        <v>108</v>
      </c>
      <c r="G209" t="s">
        <v>15</v>
      </c>
      <c r="H209" s="18">
        <v>135000</v>
      </c>
      <c r="I209" s="18">
        <v>135000</v>
      </c>
    </row>
    <row r="210" spans="1:9" ht="14.5" x14ac:dyDescent="0.35">
      <c r="A210" s="16">
        <v>42736</v>
      </c>
      <c r="B210" t="s">
        <v>133</v>
      </c>
      <c r="C210">
        <v>1</v>
      </c>
      <c r="D210" t="s">
        <v>11</v>
      </c>
      <c r="E210">
        <v>1</v>
      </c>
      <c r="F210" t="s">
        <v>108</v>
      </c>
      <c r="G210" t="s">
        <v>13</v>
      </c>
      <c r="H210" s="18">
        <v>231000</v>
      </c>
      <c r="I210" s="18">
        <v>231000</v>
      </c>
    </row>
    <row r="211" spans="1:9" ht="14.5" x14ac:dyDescent="0.35">
      <c r="A211" s="16">
        <v>42736</v>
      </c>
      <c r="B211" t="s">
        <v>133</v>
      </c>
      <c r="C211">
        <v>2</v>
      </c>
      <c r="D211" t="s">
        <v>31</v>
      </c>
      <c r="E211">
        <v>2</v>
      </c>
      <c r="F211" t="s">
        <v>108</v>
      </c>
      <c r="G211" t="s">
        <v>32</v>
      </c>
      <c r="H211" s="18">
        <v>597000</v>
      </c>
      <c r="I211" s="18">
        <v>1194000</v>
      </c>
    </row>
    <row r="212" spans="1:9" ht="14.5" x14ac:dyDescent="0.35">
      <c r="A212" s="16">
        <v>42736</v>
      </c>
      <c r="B212" t="s">
        <v>133</v>
      </c>
      <c r="C212">
        <v>3</v>
      </c>
      <c r="D212" t="s">
        <v>23</v>
      </c>
      <c r="E212">
        <v>2</v>
      </c>
      <c r="F212" t="s">
        <v>108</v>
      </c>
      <c r="G212" t="s">
        <v>17</v>
      </c>
      <c r="H212" s="18">
        <v>288000</v>
      </c>
      <c r="I212" s="18">
        <v>576000</v>
      </c>
    </row>
    <row r="213" spans="1:9" ht="14.5" x14ac:dyDescent="0.35">
      <c r="A213" s="16">
        <v>42736</v>
      </c>
      <c r="B213" t="s">
        <v>134</v>
      </c>
      <c r="C213">
        <v>1</v>
      </c>
      <c r="D213" t="s">
        <v>48</v>
      </c>
      <c r="E213">
        <v>1</v>
      </c>
      <c r="F213" t="s">
        <v>108</v>
      </c>
      <c r="G213" t="s">
        <v>13</v>
      </c>
      <c r="H213" s="18">
        <v>165000</v>
      </c>
      <c r="I213" s="18">
        <v>165000</v>
      </c>
    </row>
    <row r="214" spans="1:9" ht="14.5" x14ac:dyDescent="0.35">
      <c r="A214" s="16">
        <v>42736</v>
      </c>
      <c r="B214" t="s">
        <v>134</v>
      </c>
      <c r="C214">
        <v>2</v>
      </c>
      <c r="D214" t="s">
        <v>31</v>
      </c>
      <c r="E214">
        <v>2</v>
      </c>
      <c r="F214" t="s">
        <v>108</v>
      </c>
      <c r="G214" t="s">
        <v>32</v>
      </c>
      <c r="H214" s="18">
        <v>597000</v>
      </c>
      <c r="I214" s="18">
        <v>1194000</v>
      </c>
    </row>
    <row r="215" spans="1:9" ht="14.5" x14ac:dyDescent="0.35">
      <c r="A215" s="16">
        <v>42736</v>
      </c>
      <c r="B215" t="s">
        <v>135</v>
      </c>
      <c r="C215">
        <v>1</v>
      </c>
      <c r="D215" t="s">
        <v>39</v>
      </c>
      <c r="E215">
        <v>1</v>
      </c>
      <c r="F215" t="s">
        <v>108</v>
      </c>
      <c r="G215" t="s">
        <v>15</v>
      </c>
      <c r="H215" s="18">
        <v>75000</v>
      </c>
      <c r="I215" s="18">
        <v>75000</v>
      </c>
    </row>
    <row r="216" spans="1:9" ht="14.5" x14ac:dyDescent="0.35">
      <c r="A216" s="16">
        <v>42736</v>
      </c>
      <c r="B216" t="s">
        <v>135</v>
      </c>
      <c r="C216">
        <v>2</v>
      </c>
      <c r="D216" t="s">
        <v>18</v>
      </c>
      <c r="E216">
        <v>1</v>
      </c>
      <c r="F216" t="s">
        <v>108</v>
      </c>
      <c r="G216" t="s">
        <v>19</v>
      </c>
      <c r="H216" s="18">
        <v>135000</v>
      </c>
      <c r="I216" s="18">
        <v>135000</v>
      </c>
    </row>
    <row r="217" spans="1:9" ht="14.5" x14ac:dyDescent="0.35">
      <c r="A217" s="16">
        <v>42736</v>
      </c>
      <c r="B217" t="s">
        <v>136</v>
      </c>
      <c r="C217">
        <v>1</v>
      </c>
      <c r="D217" t="s">
        <v>25</v>
      </c>
      <c r="E217">
        <v>1</v>
      </c>
      <c r="F217" t="s">
        <v>108</v>
      </c>
      <c r="G217" t="s">
        <v>19</v>
      </c>
      <c r="H217" s="18">
        <v>231000</v>
      </c>
      <c r="I217" s="18">
        <v>231000</v>
      </c>
    </row>
    <row r="218" spans="1:9" ht="14.5" x14ac:dyDescent="0.35">
      <c r="A218" s="16">
        <v>42736</v>
      </c>
      <c r="B218" t="s">
        <v>137</v>
      </c>
      <c r="C218">
        <v>1</v>
      </c>
      <c r="D218" t="s">
        <v>46</v>
      </c>
      <c r="E218">
        <v>3</v>
      </c>
      <c r="F218" t="s">
        <v>108</v>
      </c>
      <c r="G218" t="s">
        <v>15</v>
      </c>
      <c r="H218" s="18">
        <v>105000</v>
      </c>
      <c r="I218" s="18">
        <v>315000</v>
      </c>
    </row>
    <row r="219" spans="1:9" ht="14.5" x14ac:dyDescent="0.35">
      <c r="A219" s="16">
        <v>42736</v>
      </c>
      <c r="B219" t="s">
        <v>137</v>
      </c>
      <c r="C219">
        <v>2</v>
      </c>
      <c r="D219" t="s">
        <v>37</v>
      </c>
      <c r="E219">
        <v>2</v>
      </c>
      <c r="F219" t="s">
        <v>108</v>
      </c>
      <c r="G219" t="s">
        <v>19</v>
      </c>
      <c r="H219" s="18">
        <v>195000</v>
      </c>
      <c r="I219" s="18">
        <v>390000</v>
      </c>
    </row>
    <row r="220" spans="1:9" ht="14.5" x14ac:dyDescent="0.35">
      <c r="A220" s="16">
        <v>42736</v>
      </c>
      <c r="B220" t="s">
        <v>137</v>
      </c>
      <c r="C220">
        <v>3</v>
      </c>
      <c r="D220" t="s">
        <v>16</v>
      </c>
      <c r="E220">
        <v>1</v>
      </c>
      <c r="F220" t="s">
        <v>108</v>
      </c>
      <c r="G220" t="s">
        <v>17</v>
      </c>
      <c r="H220" s="18">
        <v>168000</v>
      </c>
      <c r="I220" s="18">
        <v>168000</v>
      </c>
    </row>
    <row r="221" spans="1:9" ht="14.5" x14ac:dyDescent="0.35">
      <c r="A221" s="16">
        <v>42736</v>
      </c>
      <c r="B221" t="s">
        <v>138</v>
      </c>
      <c r="C221">
        <v>1</v>
      </c>
      <c r="D221" t="s">
        <v>37</v>
      </c>
      <c r="E221">
        <v>1</v>
      </c>
      <c r="F221" t="s">
        <v>108</v>
      </c>
      <c r="G221" t="s">
        <v>19</v>
      </c>
      <c r="H221" s="18">
        <v>195000</v>
      </c>
      <c r="I221" s="18">
        <v>195000</v>
      </c>
    </row>
    <row r="222" spans="1:9" ht="14.5" x14ac:dyDescent="0.35">
      <c r="A222" s="16">
        <v>42736</v>
      </c>
      <c r="B222" t="s">
        <v>138</v>
      </c>
      <c r="C222">
        <v>2</v>
      </c>
      <c r="D222" t="s">
        <v>37</v>
      </c>
      <c r="E222">
        <v>3</v>
      </c>
      <c r="F222" t="s">
        <v>108</v>
      </c>
      <c r="G222" t="s">
        <v>19</v>
      </c>
      <c r="H222" s="18">
        <v>195000</v>
      </c>
      <c r="I222" s="18">
        <v>585000</v>
      </c>
    </row>
    <row r="223" spans="1:9" ht="14.5" x14ac:dyDescent="0.35">
      <c r="A223" s="16">
        <v>42736</v>
      </c>
      <c r="B223" t="s">
        <v>139</v>
      </c>
      <c r="C223">
        <v>1</v>
      </c>
      <c r="D223" t="s">
        <v>27</v>
      </c>
      <c r="E223">
        <v>1</v>
      </c>
      <c r="F223" t="s">
        <v>108</v>
      </c>
      <c r="G223" t="s">
        <v>17</v>
      </c>
      <c r="H223" s="18">
        <v>195000</v>
      </c>
      <c r="I223" s="18">
        <v>195000</v>
      </c>
    </row>
    <row r="224" spans="1:9" ht="14.5" x14ac:dyDescent="0.35">
      <c r="A224" s="16">
        <v>42736</v>
      </c>
      <c r="B224" t="s">
        <v>139</v>
      </c>
      <c r="C224">
        <v>2</v>
      </c>
      <c r="D224" t="s">
        <v>34</v>
      </c>
      <c r="E224">
        <v>2</v>
      </c>
      <c r="F224" t="s">
        <v>108</v>
      </c>
      <c r="G224" t="s">
        <v>13</v>
      </c>
      <c r="H224" s="18">
        <v>801000</v>
      </c>
      <c r="I224" s="18">
        <v>1602000</v>
      </c>
    </row>
    <row r="225" spans="1:9" ht="14.5" x14ac:dyDescent="0.35">
      <c r="A225" s="16">
        <v>42736</v>
      </c>
      <c r="B225" t="s">
        <v>140</v>
      </c>
      <c r="C225">
        <v>1</v>
      </c>
      <c r="D225" t="s">
        <v>21</v>
      </c>
      <c r="E225">
        <v>2</v>
      </c>
      <c r="F225" t="s">
        <v>108</v>
      </c>
      <c r="G225" t="s">
        <v>13</v>
      </c>
      <c r="H225" s="18">
        <v>192000</v>
      </c>
      <c r="I225" s="18">
        <v>384000</v>
      </c>
    </row>
    <row r="226" spans="1:9" ht="14.5" x14ac:dyDescent="0.35">
      <c r="A226" s="16">
        <v>42736</v>
      </c>
      <c r="B226" t="s">
        <v>141</v>
      </c>
      <c r="C226">
        <v>1</v>
      </c>
      <c r="D226" t="s">
        <v>63</v>
      </c>
      <c r="E226">
        <v>3</v>
      </c>
      <c r="F226" t="s">
        <v>108</v>
      </c>
      <c r="G226" t="s">
        <v>19</v>
      </c>
      <c r="H226" s="18">
        <v>132000</v>
      </c>
      <c r="I226" s="18">
        <v>396000</v>
      </c>
    </row>
    <row r="227" spans="1:9" ht="14.5" x14ac:dyDescent="0.35">
      <c r="A227" s="16">
        <v>42736</v>
      </c>
      <c r="B227" t="s">
        <v>141</v>
      </c>
      <c r="C227">
        <v>2</v>
      </c>
      <c r="D227" t="s">
        <v>23</v>
      </c>
      <c r="E227">
        <v>3</v>
      </c>
      <c r="F227" t="s">
        <v>108</v>
      </c>
      <c r="G227" t="s">
        <v>17</v>
      </c>
      <c r="H227" s="18">
        <v>288000</v>
      </c>
      <c r="I227" s="18">
        <v>864000</v>
      </c>
    </row>
    <row r="228" spans="1:9" ht="14.5" x14ac:dyDescent="0.35">
      <c r="A228" s="16">
        <v>42736</v>
      </c>
      <c r="B228" t="s">
        <v>141</v>
      </c>
      <c r="C228">
        <v>3</v>
      </c>
      <c r="D228" t="s">
        <v>49</v>
      </c>
      <c r="E228">
        <v>3</v>
      </c>
      <c r="F228" t="s">
        <v>108</v>
      </c>
      <c r="G228" t="s">
        <v>15</v>
      </c>
      <c r="H228" s="18">
        <v>246000</v>
      </c>
      <c r="I228" s="18">
        <v>738000</v>
      </c>
    </row>
    <row r="229" spans="1:9" ht="14.5" x14ac:dyDescent="0.35">
      <c r="A229" s="16">
        <v>42736</v>
      </c>
      <c r="B229" t="s">
        <v>141</v>
      </c>
      <c r="C229">
        <v>4</v>
      </c>
      <c r="D229" t="s">
        <v>14</v>
      </c>
      <c r="E229">
        <v>3</v>
      </c>
      <c r="F229" t="s">
        <v>108</v>
      </c>
      <c r="G229" t="s">
        <v>15</v>
      </c>
      <c r="H229" s="18">
        <v>135000</v>
      </c>
      <c r="I229" s="18">
        <v>405000</v>
      </c>
    </row>
    <row r="230" spans="1:9" ht="14.5" x14ac:dyDescent="0.35">
      <c r="A230" s="16">
        <v>42736</v>
      </c>
      <c r="B230" t="s">
        <v>142</v>
      </c>
      <c r="C230">
        <v>1</v>
      </c>
      <c r="D230" t="s">
        <v>23</v>
      </c>
      <c r="E230">
        <v>3</v>
      </c>
      <c r="F230" t="s">
        <v>108</v>
      </c>
      <c r="G230" t="s">
        <v>17</v>
      </c>
      <c r="H230" s="18">
        <v>288000</v>
      </c>
      <c r="I230" s="18">
        <v>864000</v>
      </c>
    </row>
    <row r="231" spans="1:9" ht="14.5" x14ac:dyDescent="0.35">
      <c r="A231" s="16">
        <v>42736</v>
      </c>
      <c r="B231" t="s">
        <v>142</v>
      </c>
      <c r="C231">
        <v>2</v>
      </c>
      <c r="D231" t="s">
        <v>27</v>
      </c>
      <c r="E231">
        <v>1</v>
      </c>
      <c r="F231" t="s">
        <v>108</v>
      </c>
      <c r="G231" t="s">
        <v>17</v>
      </c>
      <c r="H231" s="18">
        <v>195000</v>
      </c>
      <c r="I231" s="18">
        <v>195000</v>
      </c>
    </row>
    <row r="232" spans="1:9" ht="14.5" x14ac:dyDescent="0.35">
      <c r="A232" s="16">
        <v>42736</v>
      </c>
      <c r="B232" t="s">
        <v>143</v>
      </c>
      <c r="C232">
        <v>1</v>
      </c>
      <c r="D232" t="s">
        <v>27</v>
      </c>
      <c r="E232">
        <v>3</v>
      </c>
      <c r="F232" t="s">
        <v>108</v>
      </c>
      <c r="G232" t="s">
        <v>17</v>
      </c>
      <c r="H232" s="18">
        <v>195000</v>
      </c>
      <c r="I232" s="18">
        <v>585000</v>
      </c>
    </row>
    <row r="233" spans="1:9" ht="14.5" x14ac:dyDescent="0.35">
      <c r="A233" s="16">
        <v>42736</v>
      </c>
      <c r="B233" t="s">
        <v>143</v>
      </c>
      <c r="C233">
        <v>2</v>
      </c>
      <c r="D233" t="s">
        <v>23</v>
      </c>
      <c r="E233">
        <v>1</v>
      </c>
      <c r="F233" t="s">
        <v>108</v>
      </c>
      <c r="G233" t="s">
        <v>17</v>
      </c>
      <c r="H233" s="18">
        <v>288000</v>
      </c>
      <c r="I233" s="18">
        <v>288000</v>
      </c>
    </row>
    <row r="234" spans="1:9" ht="14.5" x14ac:dyDescent="0.35">
      <c r="A234" s="16">
        <v>42736</v>
      </c>
      <c r="B234" t="s">
        <v>143</v>
      </c>
      <c r="C234">
        <v>3</v>
      </c>
      <c r="D234" t="s">
        <v>21</v>
      </c>
      <c r="E234">
        <v>2</v>
      </c>
      <c r="F234" t="s">
        <v>108</v>
      </c>
      <c r="G234" t="s">
        <v>13</v>
      </c>
      <c r="H234" s="18">
        <v>192000</v>
      </c>
      <c r="I234" s="18">
        <v>384000</v>
      </c>
    </row>
    <row r="235" spans="1:9" ht="14.5" x14ac:dyDescent="0.35">
      <c r="A235" s="16">
        <v>42736</v>
      </c>
      <c r="B235" t="s">
        <v>144</v>
      </c>
      <c r="C235">
        <v>1</v>
      </c>
      <c r="D235" t="s">
        <v>35</v>
      </c>
      <c r="E235">
        <v>1</v>
      </c>
      <c r="F235" t="s">
        <v>145</v>
      </c>
      <c r="G235" t="s">
        <v>15</v>
      </c>
      <c r="H235" s="18">
        <v>21000</v>
      </c>
      <c r="I235" s="18">
        <v>21000</v>
      </c>
    </row>
    <row r="236" spans="1:9" ht="14.5" x14ac:dyDescent="0.35">
      <c r="A236" s="16">
        <v>42736</v>
      </c>
      <c r="B236" t="s">
        <v>144</v>
      </c>
      <c r="C236">
        <v>2</v>
      </c>
      <c r="D236" t="s">
        <v>59</v>
      </c>
      <c r="E236">
        <v>2</v>
      </c>
      <c r="F236" t="s">
        <v>145</v>
      </c>
      <c r="G236" t="s">
        <v>13</v>
      </c>
      <c r="H236" s="18">
        <v>249000</v>
      </c>
      <c r="I236" s="18">
        <v>498000</v>
      </c>
    </row>
    <row r="237" spans="1:9" ht="14.5" x14ac:dyDescent="0.35">
      <c r="A237" s="16">
        <v>42736</v>
      </c>
      <c r="B237" t="s">
        <v>144</v>
      </c>
      <c r="C237">
        <v>3</v>
      </c>
      <c r="D237" t="s">
        <v>53</v>
      </c>
      <c r="E237">
        <v>1</v>
      </c>
      <c r="F237" t="s">
        <v>145</v>
      </c>
      <c r="G237" t="s">
        <v>17</v>
      </c>
      <c r="H237" s="18">
        <v>402000</v>
      </c>
      <c r="I237" s="18">
        <v>402000</v>
      </c>
    </row>
    <row r="238" spans="1:9" ht="14.5" x14ac:dyDescent="0.35">
      <c r="A238" s="16">
        <v>42736</v>
      </c>
      <c r="B238" t="s">
        <v>146</v>
      </c>
      <c r="C238">
        <v>1</v>
      </c>
      <c r="D238" t="s">
        <v>37</v>
      </c>
      <c r="E238">
        <v>3</v>
      </c>
      <c r="F238" t="s">
        <v>145</v>
      </c>
      <c r="G238" t="s">
        <v>19</v>
      </c>
      <c r="H238" s="18">
        <v>195000</v>
      </c>
      <c r="I238" s="18">
        <v>585000</v>
      </c>
    </row>
    <row r="239" spans="1:9" ht="14.5" x14ac:dyDescent="0.35">
      <c r="A239" s="16">
        <v>42736</v>
      </c>
      <c r="B239" t="s">
        <v>146</v>
      </c>
      <c r="C239">
        <v>2</v>
      </c>
      <c r="D239" t="s">
        <v>84</v>
      </c>
      <c r="E239">
        <v>1</v>
      </c>
      <c r="F239" t="s">
        <v>145</v>
      </c>
      <c r="G239" t="s">
        <v>32</v>
      </c>
      <c r="H239" s="18">
        <v>705000</v>
      </c>
      <c r="I239" s="18">
        <v>705000</v>
      </c>
    </row>
    <row r="240" spans="1:9" ht="14.5" x14ac:dyDescent="0.35">
      <c r="A240" s="16">
        <v>42736</v>
      </c>
      <c r="B240" t="s">
        <v>146</v>
      </c>
      <c r="C240">
        <v>3</v>
      </c>
      <c r="D240" t="s">
        <v>21</v>
      </c>
      <c r="E240">
        <v>1</v>
      </c>
      <c r="F240" t="s">
        <v>145</v>
      </c>
      <c r="G240" t="s">
        <v>13</v>
      </c>
      <c r="H240" s="18">
        <v>192000</v>
      </c>
      <c r="I240" s="18">
        <v>192000</v>
      </c>
    </row>
    <row r="241" spans="1:9" ht="14.5" x14ac:dyDescent="0.35">
      <c r="A241" s="16">
        <v>42736</v>
      </c>
      <c r="B241" t="s">
        <v>147</v>
      </c>
      <c r="C241">
        <v>1</v>
      </c>
      <c r="D241" t="s">
        <v>48</v>
      </c>
      <c r="E241">
        <v>3</v>
      </c>
      <c r="F241" t="s">
        <v>145</v>
      </c>
      <c r="G241" t="s">
        <v>13</v>
      </c>
      <c r="H241" s="18">
        <v>165000</v>
      </c>
      <c r="I241" s="18">
        <v>495000</v>
      </c>
    </row>
    <row r="242" spans="1:9" ht="14.5" x14ac:dyDescent="0.35">
      <c r="A242" s="16">
        <v>42736</v>
      </c>
      <c r="B242" t="s">
        <v>148</v>
      </c>
      <c r="C242">
        <v>1</v>
      </c>
      <c r="D242" t="s">
        <v>23</v>
      </c>
      <c r="E242">
        <v>1</v>
      </c>
      <c r="F242" t="s">
        <v>145</v>
      </c>
      <c r="G242" t="s">
        <v>17</v>
      </c>
      <c r="H242" s="18">
        <v>288000</v>
      </c>
      <c r="I242" s="18">
        <v>288000</v>
      </c>
    </row>
    <row r="243" spans="1:9" ht="14.5" x14ac:dyDescent="0.35">
      <c r="A243" s="16">
        <v>42736</v>
      </c>
      <c r="B243" t="s">
        <v>149</v>
      </c>
      <c r="C243">
        <v>1</v>
      </c>
      <c r="D243" t="s">
        <v>49</v>
      </c>
      <c r="E243">
        <v>3</v>
      </c>
      <c r="F243" t="s">
        <v>145</v>
      </c>
      <c r="G243" t="s">
        <v>15</v>
      </c>
      <c r="H243" s="18">
        <v>246000</v>
      </c>
      <c r="I243" s="18">
        <v>738000</v>
      </c>
    </row>
    <row r="244" spans="1:9" ht="14.5" x14ac:dyDescent="0.35">
      <c r="A244" s="16">
        <v>42736</v>
      </c>
      <c r="B244" t="s">
        <v>149</v>
      </c>
      <c r="C244">
        <v>2</v>
      </c>
      <c r="D244" t="s">
        <v>53</v>
      </c>
      <c r="E244">
        <v>3</v>
      </c>
      <c r="F244" t="s">
        <v>145</v>
      </c>
      <c r="G244" t="s">
        <v>17</v>
      </c>
      <c r="H244" s="18">
        <v>402000</v>
      </c>
      <c r="I244" s="18">
        <v>1206000</v>
      </c>
    </row>
    <row r="245" spans="1:9" ht="14.5" x14ac:dyDescent="0.35">
      <c r="A245" s="16">
        <v>42736</v>
      </c>
      <c r="B245" t="s">
        <v>150</v>
      </c>
      <c r="C245">
        <v>1</v>
      </c>
      <c r="D245" t="s">
        <v>46</v>
      </c>
      <c r="E245">
        <v>3</v>
      </c>
      <c r="F245" t="s">
        <v>145</v>
      </c>
      <c r="G245" t="s">
        <v>15</v>
      </c>
      <c r="H245" s="18">
        <v>105000</v>
      </c>
      <c r="I245" s="18">
        <v>315000</v>
      </c>
    </row>
    <row r="246" spans="1:9" ht="14.5" x14ac:dyDescent="0.35">
      <c r="A246" s="16">
        <v>42736</v>
      </c>
      <c r="B246" t="s">
        <v>150</v>
      </c>
      <c r="C246">
        <v>2</v>
      </c>
      <c r="D246" t="s">
        <v>35</v>
      </c>
      <c r="E246">
        <v>2</v>
      </c>
      <c r="F246" t="s">
        <v>145</v>
      </c>
      <c r="G246" t="s">
        <v>15</v>
      </c>
      <c r="H246" s="18">
        <v>21000</v>
      </c>
      <c r="I246" s="18">
        <v>42000</v>
      </c>
    </row>
    <row r="247" spans="1:9" ht="14.5" x14ac:dyDescent="0.35">
      <c r="A247" s="16">
        <v>42736</v>
      </c>
      <c r="B247" t="s">
        <v>150</v>
      </c>
      <c r="C247">
        <v>3</v>
      </c>
      <c r="D247" t="s">
        <v>31</v>
      </c>
      <c r="E247">
        <v>3</v>
      </c>
      <c r="F247" t="s">
        <v>145</v>
      </c>
      <c r="G247" t="s">
        <v>32</v>
      </c>
      <c r="H247" s="18">
        <v>597000</v>
      </c>
      <c r="I247" s="18">
        <v>1791000</v>
      </c>
    </row>
    <row r="248" spans="1:9" ht="14.5" x14ac:dyDescent="0.35">
      <c r="A248" s="16">
        <v>42736</v>
      </c>
      <c r="B248" t="s">
        <v>151</v>
      </c>
      <c r="C248">
        <v>1</v>
      </c>
      <c r="D248" t="s">
        <v>16</v>
      </c>
      <c r="E248">
        <v>3</v>
      </c>
      <c r="F248" t="s">
        <v>145</v>
      </c>
      <c r="G248" t="s">
        <v>17</v>
      </c>
      <c r="H248" s="18">
        <v>168000</v>
      </c>
      <c r="I248" s="18">
        <v>504000</v>
      </c>
    </row>
    <row r="249" spans="1:9" ht="14.5" x14ac:dyDescent="0.35">
      <c r="A249" s="16">
        <v>42736</v>
      </c>
      <c r="B249" t="s">
        <v>151</v>
      </c>
      <c r="C249">
        <v>2</v>
      </c>
      <c r="D249" t="s">
        <v>34</v>
      </c>
      <c r="E249">
        <v>2</v>
      </c>
      <c r="F249" t="s">
        <v>145</v>
      </c>
      <c r="G249" t="s">
        <v>13</v>
      </c>
      <c r="H249" s="18">
        <v>801000</v>
      </c>
      <c r="I249" s="18">
        <v>1602000</v>
      </c>
    </row>
    <row r="250" spans="1:9" ht="14.5" x14ac:dyDescent="0.35">
      <c r="A250" s="16">
        <v>42736</v>
      </c>
      <c r="B250" t="s">
        <v>151</v>
      </c>
      <c r="C250">
        <v>3</v>
      </c>
      <c r="D250" t="s">
        <v>59</v>
      </c>
      <c r="E250">
        <v>2</v>
      </c>
      <c r="F250" t="s">
        <v>145</v>
      </c>
      <c r="G250" t="s">
        <v>13</v>
      </c>
      <c r="H250" s="18">
        <v>249000</v>
      </c>
      <c r="I250" s="18">
        <v>498000</v>
      </c>
    </row>
    <row r="251" spans="1:9" ht="14.5" x14ac:dyDescent="0.35">
      <c r="A251" s="16">
        <v>42736</v>
      </c>
      <c r="B251" t="s">
        <v>152</v>
      </c>
      <c r="C251">
        <v>1</v>
      </c>
      <c r="D251" t="s">
        <v>49</v>
      </c>
      <c r="E251">
        <v>3</v>
      </c>
      <c r="F251" t="s">
        <v>145</v>
      </c>
      <c r="G251" t="s">
        <v>15</v>
      </c>
      <c r="H251" s="18">
        <v>246000</v>
      </c>
      <c r="I251" s="18">
        <v>738000</v>
      </c>
    </row>
    <row r="252" spans="1:9" ht="14.5" x14ac:dyDescent="0.35">
      <c r="A252" s="16">
        <v>42736</v>
      </c>
      <c r="B252" t="s">
        <v>153</v>
      </c>
      <c r="C252">
        <v>1</v>
      </c>
      <c r="D252" t="s">
        <v>37</v>
      </c>
      <c r="E252">
        <v>1</v>
      </c>
      <c r="F252" t="s">
        <v>145</v>
      </c>
      <c r="G252" t="s">
        <v>19</v>
      </c>
      <c r="H252" s="18">
        <v>195000</v>
      </c>
      <c r="I252" s="18">
        <v>195000</v>
      </c>
    </row>
    <row r="253" spans="1:9" ht="14.5" x14ac:dyDescent="0.35">
      <c r="A253" s="16">
        <v>42736</v>
      </c>
      <c r="B253" t="s">
        <v>153</v>
      </c>
      <c r="C253">
        <v>2</v>
      </c>
      <c r="D253" t="s">
        <v>49</v>
      </c>
      <c r="E253">
        <v>1</v>
      </c>
      <c r="F253" t="s">
        <v>145</v>
      </c>
      <c r="G253" t="s">
        <v>15</v>
      </c>
      <c r="H253" s="18">
        <v>246000</v>
      </c>
      <c r="I253" s="18">
        <v>246000</v>
      </c>
    </row>
    <row r="254" spans="1:9" ht="14.5" x14ac:dyDescent="0.35">
      <c r="A254" s="16">
        <v>42736</v>
      </c>
      <c r="B254" t="s">
        <v>154</v>
      </c>
      <c r="C254">
        <v>1</v>
      </c>
      <c r="D254" t="s">
        <v>48</v>
      </c>
      <c r="E254">
        <v>3</v>
      </c>
      <c r="F254" t="s">
        <v>145</v>
      </c>
      <c r="G254" t="s">
        <v>13</v>
      </c>
      <c r="H254" s="18">
        <v>165000</v>
      </c>
      <c r="I254" s="18">
        <v>495000</v>
      </c>
    </row>
    <row r="255" spans="1:9" ht="14.5" x14ac:dyDescent="0.35">
      <c r="A255" s="16">
        <v>42736</v>
      </c>
      <c r="B255" t="s">
        <v>154</v>
      </c>
      <c r="C255">
        <v>2</v>
      </c>
      <c r="D255" t="s">
        <v>27</v>
      </c>
      <c r="E255">
        <v>1</v>
      </c>
      <c r="F255" t="s">
        <v>145</v>
      </c>
      <c r="G255" t="s">
        <v>17</v>
      </c>
      <c r="H255" s="18">
        <v>195000</v>
      </c>
      <c r="I255" s="18">
        <v>195000</v>
      </c>
    </row>
    <row r="256" spans="1:9" ht="14.5" x14ac:dyDescent="0.35">
      <c r="A256" s="16">
        <v>42736</v>
      </c>
      <c r="B256" t="s">
        <v>154</v>
      </c>
      <c r="C256">
        <v>3</v>
      </c>
      <c r="D256" t="s">
        <v>27</v>
      </c>
      <c r="E256">
        <v>1</v>
      </c>
      <c r="F256" t="s">
        <v>145</v>
      </c>
      <c r="G256" t="s">
        <v>17</v>
      </c>
      <c r="H256" s="18">
        <v>195000</v>
      </c>
      <c r="I256" s="18">
        <v>195000</v>
      </c>
    </row>
    <row r="257" spans="1:9" ht="14.5" x14ac:dyDescent="0.35">
      <c r="A257" s="16">
        <v>42736</v>
      </c>
      <c r="B257" t="s">
        <v>155</v>
      </c>
      <c r="C257">
        <v>1</v>
      </c>
      <c r="D257" t="s">
        <v>14</v>
      </c>
      <c r="E257">
        <v>1</v>
      </c>
      <c r="F257" t="s">
        <v>145</v>
      </c>
      <c r="G257" t="s">
        <v>15</v>
      </c>
      <c r="H257" s="18">
        <v>135000</v>
      </c>
      <c r="I257" s="18">
        <v>135000</v>
      </c>
    </row>
    <row r="258" spans="1:9" ht="14.5" x14ac:dyDescent="0.35">
      <c r="A258" s="16">
        <v>42736</v>
      </c>
      <c r="B258" t="s">
        <v>156</v>
      </c>
      <c r="C258">
        <v>1</v>
      </c>
      <c r="D258" t="s">
        <v>45</v>
      </c>
      <c r="E258">
        <v>3</v>
      </c>
      <c r="F258" t="s">
        <v>145</v>
      </c>
      <c r="G258" t="s">
        <v>32</v>
      </c>
      <c r="H258" s="18">
        <v>234000</v>
      </c>
      <c r="I258" s="18">
        <v>702000</v>
      </c>
    </row>
    <row r="259" spans="1:9" ht="14.5" x14ac:dyDescent="0.35">
      <c r="A259" s="16">
        <v>42736</v>
      </c>
      <c r="B259" t="s">
        <v>156</v>
      </c>
      <c r="C259">
        <v>2</v>
      </c>
      <c r="D259" t="s">
        <v>31</v>
      </c>
      <c r="E259">
        <v>2</v>
      </c>
      <c r="F259" t="s">
        <v>145</v>
      </c>
      <c r="G259" t="s">
        <v>32</v>
      </c>
      <c r="H259" s="18">
        <v>597000</v>
      </c>
      <c r="I259" s="18">
        <v>1194000</v>
      </c>
    </row>
    <row r="260" spans="1:9" ht="14.5" x14ac:dyDescent="0.35">
      <c r="A260" s="16">
        <v>42736</v>
      </c>
      <c r="B260" t="s">
        <v>157</v>
      </c>
      <c r="C260">
        <v>1</v>
      </c>
      <c r="D260" t="s">
        <v>45</v>
      </c>
      <c r="E260">
        <v>3</v>
      </c>
      <c r="F260" t="s">
        <v>145</v>
      </c>
      <c r="G260" t="s">
        <v>32</v>
      </c>
      <c r="H260" s="18">
        <v>234000</v>
      </c>
      <c r="I260" s="18">
        <v>702000</v>
      </c>
    </row>
    <row r="261" spans="1:9" ht="14.5" x14ac:dyDescent="0.35">
      <c r="A261" s="16">
        <v>42736</v>
      </c>
      <c r="B261" t="s">
        <v>157</v>
      </c>
      <c r="C261">
        <v>2</v>
      </c>
      <c r="D261" t="s">
        <v>46</v>
      </c>
      <c r="E261">
        <v>3</v>
      </c>
      <c r="F261" t="s">
        <v>145</v>
      </c>
      <c r="G261" t="s">
        <v>15</v>
      </c>
      <c r="H261" s="18">
        <v>105000</v>
      </c>
      <c r="I261" s="18">
        <v>315000</v>
      </c>
    </row>
    <row r="262" spans="1:9" ht="14.5" x14ac:dyDescent="0.35">
      <c r="A262" s="16">
        <v>42736</v>
      </c>
      <c r="B262" t="s">
        <v>157</v>
      </c>
      <c r="C262">
        <v>3</v>
      </c>
      <c r="D262" t="s">
        <v>46</v>
      </c>
      <c r="E262">
        <v>2</v>
      </c>
      <c r="F262" t="s">
        <v>145</v>
      </c>
      <c r="G262" t="s">
        <v>15</v>
      </c>
      <c r="H262" s="18">
        <v>105000</v>
      </c>
      <c r="I262" s="18">
        <v>210000</v>
      </c>
    </row>
    <row r="263" spans="1:9" ht="14.5" x14ac:dyDescent="0.35">
      <c r="A263" s="16">
        <v>42736</v>
      </c>
      <c r="B263" t="s">
        <v>158</v>
      </c>
      <c r="C263">
        <v>1</v>
      </c>
      <c r="D263" t="s">
        <v>37</v>
      </c>
      <c r="E263">
        <v>1</v>
      </c>
      <c r="F263" t="s">
        <v>145</v>
      </c>
      <c r="G263" t="s">
        <v>19</v>
      </c>
      <c r="H263" s="18">
        <v>195000</v>
      </c>
      <c r="I263" s="18">
        <v>195000</v>
      </c>
    </row>
    <row r="264" spans="1:9" ht="14.5" x14ac:dyDescent="0.35">
      <c r="A264" s="16">
        <v>42736</v>
      </c>
      <c r="B264" t="s">
        <v>158</v>
      </c>
      <c r="C264">
        <v>2</v>
      </c>
      <c r="D264" t="s">
        <v>11</v>
      </c>
      <c r="E264">
        <v>3</v>
      </c>
      <c r="F264" t="s">
        <v>145</v>
      </c>
      <c r="G264" t="s">
        <v>13</v>
      </c>
      <c r="H264" s="18">
        <v>231000</v>
      </c>
      <c r="I264" s="18">
        <v>693000</v>
      </c>
    </row>
    <row r="265" spans="1:9" ht="14.5" x14ac:dyDescent="0.35">
      <c r="A265" s="16">
        <v>42736</v>
      </c>
      <c r="B265" t="s">
        <v>159</v>
      </c>
      <c r="C265">
        <v>1</v>
      </c>
      <c r="D265" t="s">
        <v>27</v>
      </c>
      <c r="E265">
        <v>2</v>
      </c>
      <c r="F265" t="s">
        <v>145</v>
      </c>
      <c r="G265" t="s">
        <v>17</v>
      </c>
      <c r="H265" s="18">
        <v>195000</v>
      </c>
      <c r="I265" s="18">
        <v>390000</v>
      </c>
    </row>
    <row r="266" spans="1:9" ht="14.5" x14ac:dyDescent="0.35">
      <c r="A266" s="16">
        <v>42736</v>
      </c>
      <c r="B266" t="s">
        <v>159</v>
      </c>
      <c r="C266">
        <v>2</v>
      </c>
      <c r="D266" t="s">
        <v>53</v>
      </c>
      <c r="E266">
        <v>2</v>
      </c>
      <c r="F266" t="s">
        <v>145</v>
      </c>
      <c r="G266" t="s">
        <v>17</v>
      </c>
      <c r="H266" s="18">
        <v>402000</v>
      </c>
      <c r="I266" s="18">
        <v>804000</v>
      </c>
    </row>
    <row r="267" spans="1:9" ht="14.5" x14ac:dyDescent="0.35">
      <c r="A267" s="16">
        <v>42736</v>
      </c>
      <c r="B267" t="s">
        <v>159</v>
      </c>
      <c r="C267">
        <v>3</v>
      </c>
      <c r="D267" t="s">
        <v>37</v>
      </c>
      <c r="E267">
        <v>3</v>
      </c>
      <c r="F267" t="s">
        <v>145</v>
      </c>
      <c r="G267" t="s">
        <v>19</v>
      </c>
      <c r="H267" s="18">
        <v>195000</v>
      </c>
      <c r="I267" s="18">
        <v>585000</v>
      </c>
    </row>
    <row r="268" spans="1:9" ht="14.5" x14ac:dyDescent="0.35">
      <c r="A268" s="16">
        <v>42736</v>
      </c>
      <c r="B268" t="s">
        <v>159</v>
      </c>
      <c r="C268">
        <v>4</v>
      </c>
      <c r="D268" t="s">
        <v>18</v>
      </c>
      <c r="E268">
        <v>3</v>
      </c>
      <c r="F268" t="s">
        <v>145</v>
      </c>
      <c r="G268" t="s">
        <v>19</v>
      </c>
      <c r="H268" s="18">
        <v>135000</v>
      </c>
      <c r="I268" s="18">
        <v>405000</v>
      </c>
    </row>
    <row r="269" spans="1:9" ht="14.5" x14ac:dyDescent="0.35">
      <c r="A269" s="16">
        <v>42736</v>
      </c>
      <c r="B269" t="s">
        <v>160</v>
      </c>
      <c r="C269">
        <v>1</v>
      </c>
      <c r="D269" t="s">
        <v>54</v>
      </c>
      <c r="E269">
        <v>1</v>
      </c>
      <c r="F269" t="s">
        <v>145</v>
      </c>
      <c r="G269" t="s">
        <v>32</v>
      </c>
      <c r="H269" s="18">
        <v>267000</v>
      </c>
      <c r="I269" s="18">
        <v>267000</v>
      </c>
    </row>
    <row r="270" spans="1:9" ht="14.5" x14ac:dyDescent="0.35">
      <c r="A270" s="16">
        <v>42736</v>
      </c>
      <c r="B270" t="s">
        <v>161</v>
      </c>
      <c r="C270">
        <v>1</v>
      </c>
      <c r="D270" t="s">
        <v>14</v>
      </c>
      <c r="E270">
        <v>3</v>
      </c>
      <c r="F270" t="s">
        <v>145</v>
      </c>
      <c r="G270" t="s">
        <v>15</v>
      </c>
      <c r="H270" s="18">
        <v>135000</v>
      </c>
      <c r="I270" s="18">
        <v>405000</v>
      </c>
    </row>
    <row r="271" spans="1:9" ht="14.5" x14ac:dyDescent="0.35">
      <c r="A271" s="16">
        <v>42736</v>
      </c>
      <c r="B271" t="s">
        <v>162</v>
      </c>
      <c r="C271">
        <v>1</v>
      </c>
      <c r="D271" t="s">
        <v>14</v>
      </c>
      <c r="E271">
        <v>1</v>
      </c>
      <c r="F271" t="s">
        <v>145</v>
      </c>
      <c r="G271" t="s">
        <v>15</v>
      </c>
      <c r="H271" s="18">
        <v>135000</v>
      </c>
      <c r="I271" s="18">
        <v>135000</v>
      </c>
    </row>
    <row r="272" spans="1:9" ht="14.5" x14ac:dyDescent="0.35">
      <c r="A272" s="16">
        <v>42736</v>
      </c>
      <c r="B272" t="s">
        <v>162</v>
      </c>
      <c r="C272">
        <v>2</v>
      </c>
      <c r="D272" t="s">
        <v>39</v>
      </c>
      <c r="E272">
        <v>1</v>
      </c>
      <c r="F272" t="s">
        <v>145</v>
      </c>
      <c r="G272" t="s">
        <v>15</v>
      </c>
      <c r="H272" s="18">
        <v>75000</v>
      </c>
      <c r="I272" s="18">
        <v>75000</v>
      </c>
    </row>
    <row r="273" spans="1:9" ht="14.5" x14ac:dyDescent="0.35">
      <c r="A273" s="16">
        <v>42736</v>
      </c>
      <c r="B273" t="s">
        <v>163</v>
      </c>
      <c r="C273">
        <v>1</v>
      </c>
      <c r="D273" t="s">
        <v>21</v>
      </c>
      <c r="E273">
        <v>1</v>
      </c>
      <c r="F273" t="s">
        <v>145</v>
      </c>
      <c r="G273" t="s">
        <v>13</v>
      </c>
      <c r="H273" s="18">
        <v>192000</v>
      </c>
      <c r="I273" s="18">
        <v>192000</v>
      </c>
    </row>
    <row r="274" spans="1:9" ht="14.5" x14ac:dyDescent="0.35">
      <c r="A274" s="16">
        <v>42736</v>
      </c>
      <c r="B274" t="s">
        <v>163</v>
      </c>
      <c r="C274">
        <v>2</v>
      </c>
      <c r="D274" t="s">
        <v>29</v>
      </c>
      <c r="E274">
        <v>1</v>
      </c>
      <c r="F274" t="s">
        <v>145</v>
      </c>
      <c r="G274" t="s">
        <v>17</v>
      </c>
      <c r="H274" s="18">
        <v>153000</v>
      </c>
      <c r="I274" s="18">
        <v>153000</v>
      </c>
    </row>
    <row r="275" spans="1:9" ht="14.5" x14ac:dyDescent="0.35">
      <c r="A275" s="16">
        <v>42736</v>
      </c>
      <c r="B275" t="s">
        <v>164</v>
      </c>
      <c r="C275">
        <v>1</v>
      </c>
      <c r="D275" t="s">
        <v>29</v>
      </c>
      <c r="E275">
        <v>3</v>
      </c>
      <c r="F275" t="s">
        <v>145</v>
      </c>
      <c r="G275" t="s">
        <v>17</v>
      </c>
      <c r="H275" s="18">
        <v>153000</v>
      </c>
      <c r="I275" s="18">
        <v>459000</v>
      </c>
    </row>
    <row r="276" spans="1:9" ht="14.5" x14ac:dyDescent="0.35">
      <c r="A276" s="16">
        <v>42736</v>
      </c>
      <c r="B276" t="s">
        <v>164</v>
      </c>
      <c r="C276">
        <v>2</v>
      </c>
      <c r="D276" t="s">
        <v>49</v>
      </c>
      <c r="E276">
        <v>2</v>
      </c>
      <c r="F276" t="s">
        <v>145</v>
      </c>
      <c r="G276" t="s">
        <v>15</v>
      </c>
      <c r="H276" s="18">
        <v>246000</v>
      </c>
      <c r="I276" s="18">
        <v>492000</v>
      </c>
    </row>
    <row r="277" spans="1:9" ht="14.5" x14ac:dyDescent="0.35">
      <c r="A277" s="16">
        <v>42736</v>
      </c>
      <c r="B277" t="s">
        <v>164</v>
      </c>
      <c r="C277">
        <v>3</v>
      </c>
      <c r="D277" t="s">
        <v>25</v>
      </c>
      <c r="E277">
        <v>1</v>
      </c>
      <c r="F277" t="s">
        <v>145</v>
      </c>
      <c r="G277" t="s">
        <v>19</v>
      </c>
      <c r="H277" s="18">
        <v>231000</v>
      </c>
      <c r="I277" s="18">
        <v>231000</v>
      </c>
    </row>
    <row r="278" spans="1:9" ht="14.5" x14ac:dyDescent="0.35">
      <c r="A278" s="16">
        <v>42736</v>
      </c>
      <c r="B278" t="s">
        <v>165</v>
      </c>
      <c r="C278">
        <v>1</v>
      </c>
      <c r="D278" t="s">
        <v>35</v>
      </c>
      <c r="E278">
        <v>3</v>
      </c>
      <c r="F278" t="s">
        <v>145</v>
      </c>
      <c r="G278" t="s">
        <v>15</v>
      </c>
      <c r="H278" s="18">
        <v>21000</v>
      </c>
      <c r="I278" s="18">
        <v>63000</v>
      </c>
    </row>
    <row r="279" spans="1:9" ht="14.5" x14ac:dyDescent="0.35">
      <c r="A279" s="16">
        <v>42736</v>
      </c>
      <c r="B279" t="s">
        <v>165</v>
      </c>
      <c r="C279">
        <v>2</v>
      </c>
      <c r="D279" t="s">
        <v>23</v>
      </c>
      <c r="E279">
        <v>1</v>
      </c>
      <c r="F279" t="s">
        <v>145</v>
      </c>
      <c r="G279" t="s">
        <v>17</v>
      </c>
      <c r="H279" s="18">
        <v>288000</v>
      </c>
      <c r="I279" s="18">
        <v>288000</v>
      </c>
    </row>
    <row r="280" spans="1:9" ht="14.5" x14ac:dyDescent="0.35">
      <c r="A280" s="16">
        <v>42736</v>
      </c>
      <c r="B280" t="s">
        <v>166</v>
      </c>
      <c r="C280">
        <v>1</v>
      </c>
      <c r="D280" t="s">
        <v>39</v>
      </c>
      <c r="E280">
        <v>2</v>
      </c>
      <c r="F280" t="s">
        <v>145</v>
      </c>
      <c r="G280" t="s">
        <v>15</v>
      </c>
      <c r="H280" s="18">
        <v>75000</v>
      </c>
      <c r="I280" s="18">
        <v>150000</v>
      </c>
    </row>
    <row r="281" spans="1:9" ht="14.5" x14ac:dyDescent="0.35">
      <c r="A281" s="16">
        <v>42736</v>
      </c>
      <c r="B281" t="s">
        <v>166</v>
      </c>
      <c r="C281">
        <v>2</v>
      </c>
      <c r="D281" t="s">
        <v>63</v>
      </c>
      <c r="E281">
        <v>1</v>
      </c>
      <c r="F281" t="s">
        <v>145</v>
      </c>
      <c r="G281" t="s">
        <v>19</v>
      </c>
      <c r="H281" s="18">
        <v>132000</v>
      </c>
      <c r="I281" s="18">
        <v>132000</v>
      </c>
    </row>
    <row r="282" spans="1:9" ht="14.5" x14ac:dyDescent="0.35">
      <c r="A282" s="16">
        <v>42736</v>
      </c>
      <c r="B282" t="s">
        <v>167</v>
      </c>
      <c r="C282">
        <v>1</v>
      </c>
      <c r="D282" t="s">
        <v>21</v>
      </c>
      <c r="E282">
        <v>1</v>
      </c>
      <c r="F282" t="s">
        <v>145</v>
      </c>
      <c r="G282" t="s">
        <v>13</v>
      </c>
      <c r="H282" s="18">
        <v>192000</v>
      </c>
      <c r="I282" s="18">
        <v>192000</v>
      </c>
    </row>
    <row r="283" spans="1:9" ht="14.5" x14ac:dyDescent="0.35">
      <c r="A283" s="16">
        <v>42736</v>
      </c>
      <c r="B283" t="s">
        <v>167</v>
      </c>
      <c r="C283">
        <v>2</v>
      </c>
      <c r="D283" t="s">
        <v>11</v>
      </c>
      <c r="E283">
        <v>3</v>
      </c>
      <c r="F283" t="s">
        <v>145</v>
      </c>
      <c r="G283" t="s">
        <v>13</v>
      </c>
      <c r="H283" s="18">
        <v>231000</v>
      </c>
      <c r="I283" s="18">
        <v>693000</v>
      </c>
    </row>
    <row r="284" spans="1:9" ht="14.5" x14ac:dyDescent="0.35">
      <c r="A284" s="16">
        <v>42736</v>
      </c>
      <c r="B284" t="s">
        <v>167</v>
      </c>
      <c r="C284">
        <v>3</v>
      </c>
      <c r="D284" t="s">
        <v>84</v>
      </c>
      <c r="E284">
        <v>2</v>
      </c>
      <c r="F284" t="s">
        <v>145</v>
      </c>
      <c r="G284" t="s">
        <v>32</v>
      </c>
      <c r="H284" s="18">
        <v>705000</v>
      </c>
      <c r="I284" s="18">
        <v>1410000</v>
      </c>
    </row>
    <row r="285" spans="1:9" ht="14.5" x14ac:dyDescent="0.35">
      <c r="A285" s="16">
        <v>42736</v>
      </c>
      <c r="B285" t="s">
        <v>168</v>
      </c>
      <c r="C285">
        <v>1</v>
      </c>
      <c r="D285" t="s">
        <v>37</v>
      </c>
      <c r="E285">
        <v>2</v>
      </c>
      <c r="F285" t="s">
        <v>145</v>
      </c>
      <c r="G285" t="s">
        <v>19</v>
      </c>
      <c r="H285" s="18">
        <v>195000</v>
      </c>
      <c r="I285" s="18">
        <v>390000</v>
      </c>
    </row>
    <row r="286" spans="1:9" ht="14.5" x14ac:dyDescent="0.35">
      <c r="A286" s="16">
        <v>42736</v>
      </c>
      <c r="B286" t="s">
        <v>168</v>
      </c>
      <c r="C286">
        <v>2</v>
      </c>
      <c r="D286" t="s">
        <v>35</v>
      </c>
      <c r="E286">
        <v>2</v>
      </c>
      <c r="F286" t="s">
        <v>145</v>
      </c>
      <c r="G286" t="s">
        <v>15</v>
      </c>
      <c r="H286" s="18">
        <v>21000</v>
      </c>
      <c r="I286" s="18">
        <v>42000</v>
      </c>
    </row>
    <row r="287" spans="1:9" ht="14.5" x14ac:dyDescent="0.35">
      <c r="A287" s="16">
        <v>42736</v>
      </c>
      <c r="B287" t="s">
        <v>169</v>
      </c>
      <c r="C287">
        <v>1</v>
      </c>
      <c r="D287" t="s">
        <v>18</v>
      </c>
      <c r="E287">
        <v>3</v>
      </c>
      <c r="F287" t="s">
        <v>145</v>
      </c>
      <c r="G287" t="s">
        <v>19</v>
      </c>
      <c r="H287" s="18">
        <v>135000</v>
      </c>
      <c r="I287" s="18">
        <v>405000</v>
      </c>
    </row>
    <row r="288" spans="1:9" ht="14.5" x14ac:dyDescent="0.35">
      <c r="A288" s="16">
        <v>42736</v>
      </c>
      <c r="B288" t="s">
        <v>169</v>
      </c>
      <c r="C288">
        <v>2</v>
      </c>
      <c r="D288" t="s">
        <v>31</v>
      </c>
      <c r="E288">
        <v>1</v>
      </c>
      <c r="F288" t="s">
        <v>145</v>
      </c>
      <c r="G288" t="s">
        <v>32</v>
      </c>
      <c r="H288" s="18">
        <v>597000</v>
      </c>
      <c r="I288" s="18">
        <v>597000</v>
      </c>
    </row>
    <row r="289" spans="1:9" ht="14.5" x14ac:dyDescent="0.35">
      <c r="A289" s="16">
        <v>42736</v>
      </c>
      <c r="B289" t="s">
        <v>170</v>
      </c>
      <c r="C289">
        <v>1</v>
      </c>
      <c r="D289" t="s">
        <v>29</v>
      </c>
      <c r="E289">
        <v>1</v>
      </c>
      <c r="F289" t="s">
        <v>145</v>
      </c>
      <c r="G289" t="s">
        <v>17</v>
      </c>
      <c r="H289" s="18">
        <v>153000</v>
      </c>
      <c r="I289" s="18">
        <v>153000</v>
      </c>
    </row>
    <row r="290" spans="1:9" ht="14.5" x14ac:dyDescent="0.35">
      <c r="A290" s="16">
        <v>42736</v>
      </c>
      <c r="B290" t="s">
        <v>170</v>
      </c>
      <c r="C290">
        <v>2</v>
      </c>
      <c r="D290" t="s">
        <v>27</v>
      </c>
      <c r="E290">
        <v>1</v>
      </c>
      <c r="F290" t="s">
        <v>145</v>
      </c>
      <c r="G290" t="s">
        <v>17</v>
      </c>
      <c r="H290" s="18">
        <v>195000</v>
      </c>
      <c r="I290" s="18">
        <v>195000</v>
      </c>
    </row>
    <row r="291" spans="1:9" ht="14.5" x14ac:dyDescent="0.35">
      <c r="A291" s="16">
        <v>42736</v>
      </c>
      <c r="B291" t="s">
        <v>171</v>
      </c>
      <c r="C291">
        <v>1</v>
      </c>
      <c r="D291" t="s">
        <v>63</v>
      </c>
      <c r="E291">
        <v>3</v>
      </c>
      <c r="F291" t="s">
        <v>145</v>
      </c>
      <c r="G291" t="s">
        <v>19</v>
      </c>
      <c r="H291" s="18">
        <v>132000</v>
      </c>
      <c r="I291" s="18">
        <v>396000</v>
      </c>
    </row>
    <row r="292" spans="1:9" ht="14.5" x14ac:dyDescent="0.35">
      <c r="A292" s="16">
        <v>42736</v>
      </c>
      <c r="B292" t="s">
        <v>171</v>
      </c>
      <c r="C292">
        <v>2</v>
      </c>
      <c r="D292" t="s">
        <v>37</v>
      </c>
      <c r="E292">
        <v>3</v>
      </c>
      <c r="F292" t="s">
        <v>145</v>
      </c>
      <c r="G292" t="s">
        <v>19</v>
      </c>
      <c r="H292" s="18">
        <v>195000</v>
      </c>
      <c r="I292" s="18">
        <v>585000</v>
      </c>
    </row>
    <row r="293" spans="1:9" ht="14.5" x14ac:dyDescent="0.35">
      <c r="A293" s="16">
        <v>42736</v>
      </c>
      <c r="B293" t="s">
        <v>172</v>
      </c>
      <c r="C293">
        <v>1</v>
      </c>
      <c r="D293" t="s">
        <v>88</v>
      </c>
      <c r="E293">
        <v>2</v>
      </c>
      <c r="F293" t="s">
        <v>145</v>
      </c>
      <c r="G293" t="s">
        <v>32</v>
      </c>
      <c r="H293" s="18">
        <v>276000</v>
      </c>
      <c r="I293" s="18">
        <v>552000</v>
      </c>
    </row>
    <row r="294" spans="1:9" ht="14.5" x14ac:dyDescent="0.35">
      <c r="A294" s="16">
        <v>42736</v>
      </c>
      <c r="B294" t="s">
        <v>173</v>
      </c>
      <c r="C294">
        <v>1</v>
      </c>
      <c r="D294" t="s">
        <v>42</v>
      </c>
      <c r="E294">
        <v>1</v>
      </c>
      <c r="F294" t="s">
        <v>145</v>
      </c>
      <c r="G294" t="s">
        <v>19</v>
      </c>
      <c r="H294" s="18">
        <v>141000</v>
      </c>
      <c r="I294" s="18">
        <v>141000</v>
      </c>
    </row>
    <row r="295" spans="1:9" ht="14.5" x14ac:dyDescent="0.35">
      <c r="A295" s="16">
        <v>42736</v>
      </c>
      <c r="B295" t="s">
        <v>174</v>
      </c>
      <c r="C295">
        <v>1</v>
      </c>
      <c r="D295" t="s">
        <v>39</v>
      </c>
      <c r="E295">
        <v>2</v>
      </c>
      <c r="F295" t="s">
        <v>145</v>
      </c>
      <c r="G295" t="s">
        <v>15</v>
      </c>
      <c r="H295" s="18">
        <v>75000</v>
      </c>
      <c r="I295" s="18">
        <v>150000</v>
      </c>
    </row>
    <row r="296" spans="1:9" ht="14.5" x14ac:dyDescent="0.35">
      <c r="A296" s="16">
        <v>42736</v>
      </c>
      <c r="B296" t="s">
        <v>174</v>
      </c>
      <c r="C296">
        <v>2</v>
      </c>
      <c r="D296" t="s">
        <v>14</v>
      </c>
      <c r="E296">
        <v>2</v>
      </c>
      <c r="F296" t="s">
        <v>145</v>
      </c>
      <c r="G296" t="s">
        <v>15</v>
      </c>
      <c r="H296" s="18">
        <v>135000</v>
      </c>
      <c r="I296" s="18">
        <v>270000</v>
      </c>
    </row>
    <row r="297" spans="1:9" ht="14.5" x14ac:dyDescent="0.35">
      <c r="A297" s="16">
        <v>42736</v>
      </c>
      <c r="B297" t="s">
        <v>174</v>
      </c>
      <c r="C297">
        <v>3</v>
      </c>
      <c r="D297" t="s">
        <v>84</v>
      </c>
      <c r="E297">
        <v>2</v>
      </c>
      <c r="F297" t="s">
        <v>145</v>
      </c>
      <c r="G297" t="s">
        <v>32</v>
      </c>
      <c r="H297" s="18">
        <v>705000</v>
      </c>
      <c r="I297" s="18">
        <v>1410000</v>
      </c>
    </row>
    <row r="298" spans="1:9" ht="14.5" x14ac:dyDescent="0.35">
      <c r="A298" s="16">
        <v>42736</v>
      </c>
      <c r="B298" t="s">
        <v>175</v>
      </c>
      <c r="C298">
        <v>1</v>
      </c>
      <c r="D298" t="s">
        <v>59</v>
      </c>
      <c r="E298">
        <v>2</v>
      </c>
      <c r="F298" t="s">
        <v>145</v>
      </c>
      <c r="G298" t="s">
        <v>13</v>
      </c>
      <c r="H298" s="18">
        <v>249000</v>
      </c>
      <c r="I298" s="18">
        <v>498000</v>
      </c>
    </row>
    <row r="299" spans="1:9" ht="14.5" x14ac:dyDescent="0.35">
      <c r="A299" s="16">
        <v>42736</v>
      </c>
      <c r="B299" t="s">
        <v>176</v>
      </c>
      <c r="C299">
        <v>1</v>
      </c>
      <c r="D299" t="s">
        <v>11</v>
      </c>
      <c r="E299">
        <v>1</v>
      </c>
      <c r="F299" t="s">
        <v>145</v>
      </c>
      <c r="G299" t="s">
        <v>13</v>
      </c>
      <c r="H299" s="18">
        <v>231000</v>
      </c>
      <c r="I299" s="18">
        <v>231000</v>
      </c>
    </row>
    <row r="300" spans="1:9" ht="14.5" x14ac:dyDescent="0.35">
      <c r="A300" s="16">
        <v>42736</v>
      </c>
      <c r="B300" t="s">
        <v>177</v>
      </c>
      <c r="C300">
        <v>1</v>
      </c>
      <c r="D300" t="s">
        <v>29</v>
      </c>
      <c r="E300">
        <v>3</v>
      </c>
      <c r="F300" t="s">
        <v>145</v>
      </c>
      <c r="G300" t="s">
        <v>17</v>
      </c>
      <c r="H300" s="18">
        <v>153000</v>
      </c>
      <c r="I300" s="18">
        <v>459000</v>
      </c>
    </row>
    <row r="301" spans="1:9" ht="14.5" x14ac:dyDescent="0.35">
      <c r="A301" s="16">
        <v>42736</v>
      </c>
      <c r="B301" t="s">
        <v>177</v>
      </c>
      <c r="C301">
        <v>2</v>
      </c>
      <c r="D301" t="s">
        <v>14</v>
      </c>
      <c r="E301">
        <v>2</v>
      </c>
      <c r="F301" t="s">
        <v>145</v>
      </c>
      <c r="G301" t="s">
        <v>15</v>
      </c>
      <c r="H301" s="18">
        <v>135000</v>
      </c>
      <c r="I301" s="18">
        <v>270000</v>
      </c>
    </row>
    <row r="302" spans="1:9" ht="14.5" x14ac:dyDescent="0.35">
      <c r="A302" s="16">
        <v>42736</v>
      </c>
      <c r="B302" t="s">
        <v>178</v>
      </c>
      <c r="C302">
        <v>1</v>
      </c>
      <c r="D302" t="s">
        <v>35</v>
      </c>
      <c r="E302">
        <v>3</v>
      </c>
      <c r="F302" t="s">
        <v>145</v>
      </c>
      <c r="G302" t="s">
        <v>15</v>
      </c>
      <c r="H302" s="18">
        <v>21000</v>
      </c>
      <c r="I302" s="18">
        <v>63000</v>
      </c>
    </row>
    <row r="303" spans="1:9" ht="14.5" x14ac:dyDescent="0.35">
      <c r="A303" s="16">
        <v>42736</v>
      </c>
      <c r="B303" t="s">
        <v>179</v>
      </c>
      <c r="C303">
        <v>1</v>
      </c>
      <c r="D303" t="s">
        <v>35</v>
      </c>
      <c r="E303">
        <v>1</v>
      </c>
      <c r="F303" t="s">
        <v>145</v>
      </c>
      <c r="G303" t="s">
        <v>15</v>
      </c>
      <c r="H303" s="18">
        <v>21000</v>
      </c>
      <c r="I303" s="18">
        <v>21000</v>
      </c>
    </row>
    <row r="304" spans="1:9" ht="14.5" x14ac:dyDescent="0.35">
      <c r="A304" s="16">
        <v>42736</v>
      </c>
      <c r="B304" t="s">
        <v>179</v>
      </c>
      <c r="C304">
        <v>2</v>
      </c>
      <c r="D304" t="s">
        <v>27</v>
      </c>
      <c r="E304">
        <v>1</v>
      </c>
      <c r="F304" t="s">
        <v>145</v>
      </c>
      <c r="G304" t="s">
        <v>17</v>
      </c>
      <c r="H304" s="18">
        <v>195000</v>
      </c>
      <c r="I304" s="18">
        <v>195000</v>
      </c>
    </row>
    <row r="305" spans="1:9" ht="14.5" x14ac:dyDescent="0.35">
      <c r="A305" s="16">
        <v>42736</v>
      </c>
      <c r="B305" t="s">
        <v>179</v>
      </c>
      <c r="C305">
        <v>3</v>
      </c>
      <c r="D305" t="s">
        <v>31</v>
      </c>
      <c r="E305">
        <v>2</v>
      </c>
      <c r="F305" t="s">
        <v>145</v>
      </c>
      <c r="G305" t="s">
        <v>32</v>
      </c>
      <c r="H305" s="18">
        <v>597000</v>
      </c>
      <c r="I305" s="18">
        <v>1194000</v>
      </c>
    </row>
    <row r="306" spans="1:9" ht="14.5" x14ac:dyDescent="0.35">
      <c r="A306" s="16">
        <v>42736</v>
      </c>
      <c r="B306" t="s">
        <v>179</v>
      </c>
      <c r="C306">
        <v>4</v>
      </c>
      <c r="D306" t="s">
        <v>54</v>
      </c>
      <c r="E306">
        <v>1</v>
      </c>
      <c r="F306" t="s">
        <v>145</v>
      </c>
      <c r="G306" t="s">
        <v>32</v>
      </c>
      <c r="H306" s="18">
        <v>267000</v>
      </c>
      <c r="I306" s="18">
        <v>267000</v>
      </c>
    </row>
  </sheetData>
  <phoneticPr fontId="9" type="noConversion"/>
  <pageMargins left="0.7" right="0.7" top="0.75" bottom="0.75" header="0" footer="0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showGridLines="0" workbookViewId="0">
      <selection activeCell="B4" sqref="B4"/>
    </sheetView>
  </sheetViews>
  <sheetFormatPr defaultColWidth="14.453125" defaultRowHeight="15" customHeight="1" x14ac:dyDescent="0.35"/>
  <cols>
    <col min="1" max="1" width="9.453125" customWidth="1"/>
    <col min="2" max="2" width="22" style="23" customWidth="1"/>
    <col min="3" max="26" width="8.7265625" customWidth="1"/>
  </cols>
  <sheetData>
    <row r="1" spans="1:2" ht="14.25" customHeight="1" x14ac:dyDescent="0.35">
      <c r="A1" s="3" t="s">
        <v>180</v>
      </c>
    </row>
    <row r="2" spans="1:2" ht="13.9" customHeight="1" x14ac:dyDescent="0.35"/>
    <row r="3" spans="1:2" ht="14.25" customHeight="1" x14ac:dyDescent="0.35">
      <c r="A3" s="21" t="s">
        <v>6</v>
      </c>
      <c r="B3" s="24" t="s">
        <v>191</v>
      </c>
    </row>
    <row r="4" spans="1:2" ht="14.25" customHeight="1" x14ac:dyDescent="0.35">
      <c r="A4" s="22" t="s">
        <v>12</v>
      </c>
      <c r="B4" s="25">
        <f>AVERAGEIFS(Table_1[Revenue],Table_1[Cabang],'Misi 5-1'!A4)</f>
        <v>475120</v>
      </c>
    </row>
    <row r="5" spans="1:2" ht="14.25" customHeight="1" x14ac:dyDescent="0.35">
      <c r="A5" s="22" t="s">
        <v>72</v>
      </c>
      <c r="B5" s="25">
        <f>AVERAGEIFS(Table_1[Revenue],Table_1[Cabang],'Misi 5-1'!A5)</f>
        <v>473753.42465753423</v>
      </c>
    </row>
    <row r="6" spans="1:2" ht="14.25" customHeight="1" x14ac:dyDescent="0.35">
      <c r="A6" s="22" t="s">
        <v>108</v>
      </c>
      <c r="B6" s="25">
        <f>AVERAGEIFS(Table_1[Revenue],Table_1[Cabang],'Misi 5-1'!A6)</f>
        <v>557493.97590361442</v>
      </c>
    </row>
    <row r="7" spans="1:2" ht="14.25" customHeight="1" x14ac:dyDescent="0.35">
      <c r="A7" s="22" t="s">
        <v>145</v>
      </c>
      <c r="B7" s="25">
        <f>AVERAGEIFS(Table_1[Revenue],Table_1[Cabang],'Misi 5-1'!A7)</f>
        <v>445791.66666666669</v>
      </c>
    </row>
    <row r="8" spans="1:2" ht="14.25" customHeight="1" x14ac:dyDescent="0.35"/>
    <row r="9" spans="1:2" ht="14.25" customHeight="1" x14ac:dyDescent="0.35"/>
    <row r="10" spans="1:2" ht="14.25" customHeight="1" x14ac:dyDescent="0.35"/>
    <row r="11" spans="1:2" ht="14.25" customHeight="1" x14ac:dyDescent="0.35"/>
    <row r="12" spans="1:2" ht="14.25" customHeight="1" x14ac:dyDescent="0.35"/>
    <row r="13" spans="1:2" ht="14.25" customHeight="1" x14ac:dyDescent="0.35"/>
    <row r="14" spans="1:2" ht="14.25" customHeight="1" x14ac:dyDescent="0.35"/>
    <row r="15" spans="1:2" ht="14.25" customHeight="1" x14ac:dyDescent="0.35"/>
    <row r="16" spans="1:2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000"/>
  <sheetViews>
    <sheetView tabSelected="1" workbookViewId="0">
      <selection activeCell="C6" sqref="C6"/>
    </sheetView>
  </sheetViews>
  <sheetFormatPr defaultColWidth="14.453125" defaultRowHeight="15" customHeight="1" x14ac:dyDescent="0.35"/>
  <cols>
    <col min="1" max="1" width="13.81640625" customWidth="1"/>
    <col min="2" max="2" width="13.26953125" customWidth="1"/>
    <col min="3" max="3" width="15.26953125" customWidth="1"/>
    <col min="4" max="5" width="8.7265625" customWidth="1"/>
    <col min="6" max="6" width="13.7265625" customWidth="1"/>
    <col min="7" max="7" width="13.26953125" customWidth="1"/>
    <col min="8" max="8" width="15.26953125" customWidth="1"/>
    <col min="9" max="10" width="8.7265625" customWidth="1"/>
    <col min="11" max="11" width="13.453125" customWidth="1"/>
    <col min="12" max="12" width="13.26953125" customWidth="1"/>
    <col min="13" max="13" width="15.26953125" customWidth="1"/>
    <col min="14" max="15" width="8.7265625" customWidth="1"/>
    <col min="16" max="16" width="13.453125" customWidth="1"/>
    <col min="17" max="17" width="13.26953125" customWidth="1"/>
    <col min="18" max="18" width="15.26953125" customWidth="1"/>
    <col min="19" max="26" width="8.7265625" customWidth="1"/>
  </cols>
  <sheetData>
    <row r="1" spans="1:19" ht="14.25" customHeight="1" x14ac:dyDescent="0.35">
      <c r="A1" s="5" t="s">
        <v>181</v>
      </c>
    </row>
    <row r="2" spans="1:19" ht="14.25" customHeight="1" x14ac:dyDescent="0.35">
      <c r="A2" s="26" t="s">
        <v>182</v>
      </c>
      <c r="B2" s="27"/>
      <c r="C2" s="27"/>
      <c r="D2" s="27"/>
      <c r="F2" s="26" t="s">
        <v>183</v>
      </c>
      <c r="G2" s="27"/>
      <c r="H2" s="27"/>
      <c r="I2" s="27"/>
      <c r="K2" s="26" t="s">
        <v>184</v>
      </c>
      <c r="L2" s="27"/>
      <c r="M2" s="27"/>
      <c r="N2" s="27"/>
      <c r="P2" s="26" t="s">
        <v>185</v>
      </c>
      <c r="Q2" s="27"/>
      <c r="R2" s="27"/>
      <c r="S2" s="27"/>
    </row>
    <row r="3" spans="1:19" ht="14.25" customHeight="1" x14ac:dyDescent="0.35">
      <c r="A3" s="27"/>
      <c r="B3" s="27"/>
      <c r="C3" s="27"/>
      <c r="D3" s="27"/>
      <c r="F3" s="27"/>
      <c r="G3" s="27"/>
      <c r="H3" s="27"/>
      <c r="I3" s="27"/>
      <c r="K3" s="27"/>
      <c r="L3" s="27"/>
      <c r="M3" s="27"/>
      <c r="N3" s="27"/>
      <c r="P3" s="27"/>
      <c r="Q3" s="27"/>
      <c r="R3" s="27"/>
      <c r="S3" s="27"/>
    </row>
    <row r="4" spans="1:19" ht="14.25" customHeight="1" x14ac:dyDescent="0.35"/>
    <row r="5" spans="1:19" ht="14.25" customHeight="1" x14ac:dyDescent="0.35">
      <c r="A5" s="6" t="s">
        <v>186</v>
      </c>
      <c r="B5" s="6" t="s">
        <v>187</v>
      </c>
      <c r="C5" s="6" t="s">
        <v>188</v>
      </c>
      <c r="D5" s="6" t="s">
        <v>189</v>
      </c>
      <c r="F5" s="1" t="s">
        <v>186</v>
      </c>
      <c r="G5" s="1" t="s">
        <v>187</v>
      </c>
      <c r="H5" s="1" t="s">
        <v>188</v>
      </c>
      <c r="I5" s="1" t="s">
        <v>189</v>
      </c>
      <c r="K5" s="1" t="s">
        <v>186</v>
      </c>
      <c r="L5" s="1" t="s">
        <v>187</v>
      </c>
      <c r="M5" s="1" t="s">
        <v>188</v>
      </c>
      <c r="N5" s="1" t="s">
        <v>189</v>
      </c>
      <c r="P5" s="1" t="s">
        <v>186</v>
      </c>
      <c r="Q5" s="1" t="s">
        <v>187</v>
      </c>
      <c r="R5" s="1" t="s">
        <v>188</v>
      </c>
      <c r="S5" s="1" t="s">
        <v>189</v>
      </c>
    </row>
    <row r="6" spans="1:19" ht="14.25" customHeight="1" x14ac:dyDescent="0.35">
      <c r="A6" s="1" t="s">
        <v>10</v>
      </c>
      <c r="B6" s="1">
        <f>SUMIFS(Table_1[Jumlah Pembelian],Table_1[kode transaksi],Table_3[[#This Row],[Transaksi]])</f>
        <v>10</v>
      </c>
      <c r="C6" s="4">
        <f>SUMIFS(Table_1[Revenue],Table_1[kode transaksi],Table_3[[#This Row],[Transaksi]])</f>
        <v>1704000</v>
      </c>
      <c r="D6" s="7" t="str">
        <f>IF(AND(C6&gt;'Misi 5-1'!B4,B6&gt;5),"20%","-")</f>
        <v>20%</v>
      </c>
      <c r="F6" s="1" t="s">
        <v>71</v>
      </c>
      <c r="G6" s="1">
        <f>SUMIFS(Table_1[Jumlah Pembelian],Table_1[kode transaksi],Table_4[[#This Row],[Transaksi]])</f>
        <v>1</v>
      </c>
      <c r="H6" s="4">
        <f>SUMIFS(Table_1[Revenue],Table_1[kode transaksi],Table_4[[#This Row],[Transaksi]])</f>
        <v>192000</v>
      </c>
      <c r="I6" s="7" t="str">
        <f>IF(AND(H6&gt;'Misi 5-1'!G4,G6&gt;5),"20%","-")</f>
        <v>-</v>
      </c>
      <c r="K6" s="1" t="s">
        <v>107</v>
      </c>
      <c r="L6" s="1">
        <f>SUMIFS(Table_1[Jumlah Pembelian],Table_1[kode transaksi],Table_5[[#This Row],[Transaksi]])</f>
        <v>2</v>
      </c>
      <c r="M6" s="4">
        <f>SUMIFS(Table_1[Revenue],Table_1[kode transaksi],Table_5[[#This Row],[Transaksi]])</f>
        <v>270000</v>
      </c>
      <c r="N6" s="7" t="str">
        <f>IF(AND(M6&gt;'Misi 5-1'!L4,L6&gt;5),"20%","-")</f>
        <v>-</v>
      </c>
      <c r="P6" s="1" t="s">
        <v>144</v>
      </c>
      <c r="Q6" s="1">
        <f>SUMIFS(Table_1[Jumlah Pembelian],Table_1[kode transaksi],Table_6[[#This Row],[Transaksi]])</f>
        <v>4</v>
      </c>
      <c r="R6" s="4">
        <f>SUMIFS(Table_1[Revenue],Table_1[kode transaksi],Table_6[[#This Row],[Transaksi]])</f>
        <v>921000</v>
      </c>
      <c r="S6" s="7" t="str">
        <f>IF(AND(R6&gt;'Misi 5-1'!Q4,Q6&gt;5),"20%","-")</f>
        <v>-</v>
      </c>
    </row>
    <row r="7" spans="1:19" ht="14.25" customHeight="1" x14ac:dyDescent="0.35">
      <c r="A7" s="1" t="s">
        <v>20</v>
      </c>
      <c r="B7" s="1">
        <f>SUMIFS(Table_1[Jumlah Pembelian],Table_1[kode transaksi],Table_3[[#This Row],[Transaksi]])</f>
        <v>3</v>
      </c>
      <c r="C7" s="4">
        <f>SUMIFS(Table_1[Revenue],Table_1[kode transaksi],Table_3[[#This Row],[Transaksi]])</f>
        <v>519000</v>
      </c>
      <c r="D7" s="7" t="str">
        <f>IF(AND(C7&gt;'Misi 5-1'!B5,B7&gt;5),"20%","-")</f>
        <v>-</v>
      </c>
      <c r="F7" s="1" t="s">
        <v>73</v>
      </c>
      <c r="G7" s="1">
        <f>SUMIFS(Table_1[Jumlah Pembelian],Table_1[kode transaksi],Table_4[[#This Row],[Transaksi]])</f>
        <v>2</v>
      </c>
      <c r="H7" s="4">
        <f>SUMIFS(Table_1[Revenue],Table_1[kode transaksi],Table_4[[#This Row],[Transaksi]])</f>
        <v>543000</v>
      </c>
      <c r="I7" s="7" t="str">
        <f>IF(AND(H7&gt;'Misi 5-1'!G5,G7&gt;5),"20%","-")</f>
        <v>-</v>
      </c>
      <c r="K7" s="1" t="s">
        <v>109</v>
      </c>
      <c r="L7" s="1">
        <f>SUMIFS(Table_1[Jumlah Pembelian],Table_1[kode transaksi],Table_5[[#This Row],[Transaksi]])</f>
        <v>4</v>
      </c>
      <c r="M7" s="2">
        <f>SUMIFS(Table_1[Revenue],Table_1[kode transaksi],Table_5[[#This Row],[Transaksi]])</f>
        <v>480000</v>
      </c>
      <c r="N7" s="7" t="str">
        <f>IF(AND(M7&gt;'Misi 5-1'!L5,L7&gt;5),"20%","-")</f>
        <v>-</v>
      </c>
      <c r="P7" s="1" t="s">
        <v>146</v>
      </c>
      <c r="Q7" s="1">
        <f>SUMIFS(Table_1[Jumlah Pembelian],Table_1[kode transaksi],Table_6[[#This Row],[Transaksi]])</f>
        <v>5</v>
      </c>
      <c r="R7" s="4">
        <f>SUMIFS(Table_1[Revenue],Table_1[kode transaksi],Table_6[[#This Row],[Transaksi]])</f>
        <v>1482000</v>
      </c>
      <c r="S7" s="7" t="str">
        <f>IF(AND(R7&gt;'Misi 5-1'!Q5,Q7&gt;5),"20%","-")</f>
        <v>-</v>
      </c>
    </row>
    <row r="8" spans="1:19" ht="14.25" customHeight="1" x14ac:dyDescent="0.35">
      <c r="A8" s="1" t="s">
        <v>22</v>
      </c>
      <c r="B8" s="1">
        <f>SUMIFS(Table_1[Jumlah Pembelian],Table_1[kode transaksi],Table_3[[#This Row],[Transaksi]])</f>
        <v>1</v>
      </c>
      <c r="C8" s="4">
        <f>SUMIFS(Table_1[Revenue],Table_1[kode transaksi],Table_3[[#This Row],[Transaksi]])</f>
        <v>288000</v>
      </c>
      <c r="D8" s="7" t="str">
        <f>IF(AND(C8&gt;'Misi 5-1'!B6,B8&gt;5),"20%","-")</f>
        <v>-</v>
      </c>
      <c r="F8" s="1" t="s">
        <v>74</v>
      </c>
      <c r="G8" s="1">
        <f>SUMIFS(Table_1[Jumlah Pembelian],Table_1[kode transaksi],Table_4[[#This Row],[Transaksi]])</f>
        <v>2</v>
      </c>
      <c r="H8" s="4">
        <f>SUMIFS(Table_1[Revenue],Table_1[kode transaksi],Table_4[[#This Row],[Transaksi]])</f>
        <v>462000</v>
      </c>
      <c r="I8" s="7" t="str">
        <f>IF(AND(H8&gt;'Misi 5-1'!G6,G8&gt;5),"20%","-")</f>
        <v>-</v>
      </c>
      <c r="K8" s="1" t="s">
        <v>110</v>
      </c>
      <c r="L8" s="1">
        <f>SUMIFS(Table_1[Jumlah Pembelian],Table_1[kode transaksi],Table_5[[#This Row],[Transaksi]])</f>
        <v>3</v>
      </c>
      <c r="M8" s="2">
        <f>SUMIFS(Table_1[Revenue],Table_1[kode transaksi],Table_5[[#This Row],[Transaksi]])</f>
        <v>423000</v>
      </c>
      <c r="N8" s="7" t="str">
        <f>IF(AND(M8&gt;'Misi 5-1'!L6,L8&gt;5),"20%","-")</f>
        <v>-</v>
      </c>
      <c r="P8" s="1" t="s">
        <v>147</v>
      </c>
      <c r="Q8" s="1">
        <f>SUMIFS(Table_1[Jumlah Pembelian],Table_1[kode transaksi],Table_6[[#This Row],[Transaksi]])</f>
        <v>3</v>
      </c>
      <c r="R8" s="4">
        <f>SUMIFS(Table_1[Revenue],Table_1[kode transaksi],Table_6[[#This Row],[Transaksi]])</f>
        <v>495000</v>
      </c>
      <c r="S8" s="7" t="str">
        <f>IF(AND(R8&gt;'Misi 5-1'!Q6,Q8&gt;5),"20%","-")</f>
        <v>-</v>
      </c>
    </row>
    <row r="9" spans="1:19" ht="14.25" customHeight="1" x14ac:dyDescent="0.35">
      <c r="A9" s="1" t="s">
        <v>24</v>
      </c>
      <c r="B9" s="1">
        <f>SUMIFS(Table_1[Jumlah Pembelian],Table_1[kode transaksi],Table_3[[#This Row],[Transaksi]])</f>
        <v>1</v>
      </c>
      <c r="C9" s="4">
        <f>SUMIFS(Table_1[Revenue],Table_1[kode transaksi],Table_3[[#This Row],[Transaksi]])</f>
        <v>231000</v>
      </c>
      <c r="D9" s="7" t="str">
        <f>IF(AND(C9&gt;'Misi 5-1'!B7,B9&gt;5),"20%","-")</f>
        <v>-</v>
      </c>
      <c r="F9" s="1" t="s">
        <v>75</v>
      </c>
      <c r="G9" s="1">
        <f>SUMIFS(Table_1[Jumlah Pembelian],Table_1[kode transaksi],Table_4[[#This Row],[Transaksi]])</f>
        <v>5</v>
      </c>
      <c r="H9" s="4">
        <f>SUMIFS(Table_1[Revenue],Table_1[kode transaksi],Table_4[[#This Row],[Transaksi]])</f>
        <v>669000</v>
      </c>
      <c r="I9" s="7" t="str">
        <f>IF(AND(H9&gt;'Misi 5-1'!G7,G9&gt;5),"20%","-")</f>
        <v>-</v>
      </c>
      <c r="K9" s="1" t="s">
        <v>111</v>
      </c>
      <c r="L9" s="1">
        <f>SUMIFS(Table_1[Jumlah Pembelian],Table_1[kode transaksi],Table_5[[#This Row],[Transaksi]])</f>
        <v>7</v>
      </c>
      <c r="M9" s="2">
        <f>SUMIFS(Table_1[Revenue],Table_1[kode transaksi],Table_5[[#This Row],[Transaksi]])</f>
        <v>2580000</v>
      </c>
      <c r="N9" s="7" t="str">
        <f>IF(AND(M9&gt;'Misi 5-1'!L7,L9&gt;5),"20%","-")</f>
        <v>20%</v>
      </c>
      <c r="P9" s="1" t="s">
        <v>148</v>
      </c>
      <c r="Q9" s="1">
        <f>SUMIFS(Table_1[Jumlah Pembelian],Table_1[kode transaksi],Table_6[[#This Row],[Transaksi]])</f>
        <v>1</v>
      </c>
      <c r="R9" s="4">
        <f>SUMIFS(Table_1[Revenue],Table_1[kode transaksi],Table_6[[#This Row],[Transaksi]])</f>
        <v>288000</v>
      </c>
      <c r="S9" s="7" t="str">
        <f>IF(AND(R9&gt;'Misi 5-1'!Q7,Q9&gt;5),"20%","-")</f>
        <v>-</v>
      </c>
    </row>
    <row r="10" spans="1:19" ht="14.25" customHeight="1" x14ac:dyDescent="0.35">
      <c r="A10" s="1" t="s">
        <v>26</v>
      </c>
      <c r="B10" s="1">
        <f>SUMIFS(Table_1[Jumlah Pembelian],Table_1[kode transaksi],Table_3[[#This Row],[Transaksi]])</f>
        <v>3</v>
      </c>
      <c r="C10" s="4">
        <f>SUMIFS(Table_1[Revenue],Table_1[kode transaksi],Table_3[[#This Row],[Transaksi]])</f>
        <v>594000</v>
      </c>
      <c r="D10" s="7" t="str">
        <f>IF(AND(C10&gt;'Misi 5-1'!B8,B10&gt;5),"20%","-")</f>
        <v>-</v>
      </c>
      <c r="F10" s="1" t="s">
        <v>76</v>
      </c>
      <c r="G10" s="1">
        <f>SUMIFS(Table_1[Jumlah Pembelian],Table_1[kode transaksi],Table_4[[#This Row],[Transaksi]])</f>
        <v>5</v>
      </c>
      <c r="H10" s="4">
        <f>SUMIFS(Table_1[Revenue],Table_1[kode transaksi],Table_4[[#This Row],[Transaksi]])</f>
        <v>774000</v>
      </c>
      <c r="I10" s="7" t="str">
        <f>IF(AND(H10&gt;'Misi 5-1'!G8,G10&gt;5),"20%","-")</f>
        <v>-</v>
      </c>
      <c r="K10" s="1" t="s">
        <v>112</v>
      </c>
      <c r="L10" s="1">
        <f>SUMIFS(Table_1[Jumlah Pembelian],Table_1[kode transaksi],Table_5[[#This Row],[Transaksi]])</f>
        <v>2</v>
      </c>
      <c r="M10" s="2">
        <f>SUMIFS(Table_1[Revenue],Table_1[kode transaksi],Table_5[[#This Row],[Transaksi]])</f>
        <v>1410000</v>
      </c>
      <c r="N10" s="7" t="str">
        <f>IF(AND(M10&gt;'Misi 5-1'!L8,L10&gt;5),"20%","-")</f>
        <v>-</v>
      </c>
      <c r="P10" s="1" t="s">
        <v>149</v>
      </c>
      <c r="Q10" s="1">
        <f>SUMIFS(Table_1[Jumlah Pembelian],Table_1[kode transaksi],Table_6[[#This Row],[Transaksi]])</f>
        <v>6</v>
      </c>
      <c r="R10" s="4">
        <f>SUMIFS(Table_1[Revenue],Table_1[kode transaksi],Table_6[[#This Row],[Transaksi]])</f>
        <v>1944000</v>
      </c>
      <c r="S10" s="7" t="str">
        <f>IF(AND(R10&gt;'Misi 5-1'!Q8,Q10&gt;5),"20%","-")</f>
        <v>20%</v>
      </c>
    </row>
    <row r="11" spans="1:19" ht="14.25" customHeight="1" x14ac:dyDescent="0.35">
      <c r="A11" s="1" t="s">
        <v>28</v>
      </c>
      <c r="B11" s="1">
        <f>SUMIFS(Table_1[Jumlah Pembelian],Table_1[kode transaksi],Table_3[[#This Row],[Transaksi]])</f>
        <v>6</v>
      </c>
      <c r="C11" s="4">
        <f>SUMIFS(Table_1[Revenue],Table_1[kode transaksi],Table_3[[#This Row],[Transaksi]])</f>
        <v>864000</v>
      </c>
      <c r="D11" s="7" t="str">
        <f>IF(AND(C11&gt;'Misi 5-1'!B9,B11&gt;5),"20%","-")</f>
        <v>20%</v>
      </c>
      <c r="F11" s="1" t="s">
        <v>77</v>
      </c>
      <c r="G11" s="1">
        <f>SUMIFS(Table_1[Jumlah Pembelian],Table_1[kode transaksi],Table_4[[#This Row],[Transaksi]])</f>
        <v>5</v>
      </c>
      <c r="H11" s="4">
        <f>SUMIFS(Table_1[Revenue],Table_1[kode transaksi],Table_4[[#This Row],[Transaksi]])</f>
        <v>1485000</v>
      </c>
      <c r="I11" s="7" t="str">
        <f>IF(AND(H11&gt;'Misi 5-1'!G9,G11&gt;5),"20%","-")</f>
        <v>-</v>
      </c>
      <c r="K11" s="1" t="s">
        <v>113</v>
      </c>
      <c r="L11" s="1">
        <f>SUMIFS(Table_1[Jumlah Pembelian],Table_1[kode transaksi],Table_5[[#This Row],[Transaksi]])</f>
        <v>7</v>
      </c>
      <c r="M11" s="2">
        <f>SUMIFS(Table_1[Revenue],Table_1[kode transaksi],Table_5[[#This Row],[Transaksi]])</f>
        <v>1893000</v>
      </c>
      <c r="N11" s="7" t="str">
        <f>IF(AND(M11&gt;'Misi 5-1'!L9,L11&gt;5),"20%","-")</f>
        <v>20%</v>
      </c>
      <c r="P11" s="1" t="s">
        <v>150</v>
      </c>
      <c r="Q11" s="1">
        <f>SUMIFS(Table_1[Jumlah Pembelian],Table_1[kode transaksi],Table_6[[#This Row],[Transaksi]])</f>
        <v>8</v>
      </c>
      <c r="R11" s="4">
        <f>SUMIFS(Table_1[Revenue],Table_1[kode transaksi],Table_6[[#This Row],[Transaksi]])</f>
        <v>2148000</v>
      </c>
      <c r="S11" s="7" t="str">
        <f>IF(AND(R11&gt;'Misi 5-1'!Q9,Q11&gt;5),"20%","-")</f>
        <v>20%</v>
      </c>
    </row>
    <row r="12" spans="1:19" ht="14.25" customHeight="1" x14ac:dyDescent="0.35">
      <c r="A12" s="1" t="s">
        <v>30</v>
      </c>
      <c r="B12" s="1">
        <f>SUMIFS(Table_1[Jumlah Pembelian],Table_1[kode transaksi],Table_3[[#This Row],[Transaksi]])</f>
        <v>5</v>
      </c>
      <c r="C12" s="4">
        <f>SUMIFS(Table_1[Revenue],Table_1[kode transaksi],Table_3[[#This Row],[Transaksi]])</f>
        <v>2097000</v>
      </c>
      <c r="D12" s="7" t="str">
        <f>IF(AND(C12&gt;'Misi 5-1'!B10,B12&gt;5),"20%","-")</f>
        <v>-</v>
      </c>
      <c r="F12" s="1" t="s">
        <v>78</v>
      </c>
      <c r="G12" s="1">
        <f>SUMIFS(Table_1[Jumlah Pembelian],Table_1[kode transaksi],Table_4[[#This Row],[Transaksi]])</f>
        <v>3</v>
      </c>
      <c r="H12" s="4">
        <f>SUMIFS(Table_1[Revenue],Table_1[kode transaksi],Table_4[[#This Row],[Transaksi]])</f>
        <v>225000</v>
      </c>
      <c r="I12" s="7" t="str">
        <f>IF(AND(H12&gt;'Misi 5-1'!G10,G12&gt;5),"20%","-")</f>
        <v>-</v>
      </c>
      <c r="K12" s="1" t="s">
        <v>114</v>
      </c>
      <c r="L12" s="1">
        <f>SUMIFS(Table_1[Jumlah Pembelian],Table_1[kode transaksi],Table_5[[#This Row],[Transaksi]])</f>
        <v>2</v>
      </c>
      <c r="M12" s="2">
        <f>SUMIFS(Table_1[Revenue],Table_1[kode transaksi],Table_5[[#This Row],[Transaksi]])</f>
        <v>282000</v>
      </c>
      <c r="N12" s="7" t="str">
        <f>IF(AND(M12&gt;'Misi 5-1'!L10,L12&gt;5),"20%","-")</f>
        <v>-</v>
      </c>
      <c r="P12" s="1" t="s">
        <v>151</v>
      </c>
      <c r="Q12" s="1">
        <f>SUMIFS(Table_1[Jumlah Pembelian],Table_1[kode transaksi],Table_6[[#This Row],[Transaksi]])</f>
        <v>7</v>
      </c>
      <c r="R12" s="4">
        <f>SUMIFS(Table_1[Revenue],Table_1[kode transaksi],Table_6[[#This Row],[Transaksi]])</f>
        <v>2604000</v>
      </c>
      <c r="S12" s="7" t="str">
        <f>IF(AND(R12&gt;'Misi 5-1'!Q10,Q12&gt;5),"20%","-")</f>
        <v>20%</v>
      </c>
    </row>
    <row r="13" spans="1:19" ht="14.25" customHeight="1" x14ac:dyDescent="0.35">
      <c r="A13" s="1" t="s">
        <v>33</v>
      </c>
      <c r="B13" s="1">
        <f>SUMIFS(Table_1[Jumlah Pembelian],Table_1[kode transaksi],Table_3[[#This Row],[Transaksi]])</f>
        <v>7</v>
      </c>
      <c r="C13" s="4">
        <f>SUMIFS(Table_1[Revenue],Table_1[kode transaksi],Table_3[[#This Row],[Transaksi]])</f>
        <v>2859000</v>
      </c>
      <c r="D13" s="7" t="str">
        <f>IF(AND(C13&gt;'Misi 5-1'!B11,B13&gt;5),"20%","-")</f>
        <v>20%</v>
      </c>
      <c r="F13" s="1" t="s">
        <v>79</v>
      </c>
      <c r="G13" s="1">
        <f>SUMIFS(Table_1[Jumlah Pembelian],Table_1[kode transaksi],Table_4[[#This Row],[Transaksi]])</f>
        <v>3</v>
      </c>
      <c r="H13" s="4">
        <f>SUMIFS(Table_1[Revenue],Table_1[kode transaksi],Table_4[[#This Row],[Transaksi]])</f>
        <v>345000</v>
      </c>
      <c r="I13" s="7" t="str">
        <f>IF(AND(H13&gt;'Misi 5-1'!G11,G13&gt;5),"20%","-")</f>
        <v>-</v>
      </c>
      <c r="K13" s="1" t="s">
        <v>115</v>
      </c>
      <c r="L13" s="1">
        <f>SUMIFS(Table_1[Jumlah Pembelian],Table_1[kode transaksi],Table_5[[#This Row],[Transaksi]])</f>
        <v>3</v>
      </c>
      <c r="M13" s="2">
        <f>SUMIFS(Table_1[Revenue],Table_1[kode transaksi],Table_5[[#This Row],[Transaksi]])</f>
        <v>564000</v>
      </c>
      <c r="N13" s="7" t="str">
        <f>IF(AND(M13&gt;'Misi 5-1'!L11,L13&gt;5),"20%","-")</f>
        <v>-</v>
      </c>
      <c r="P13" s="1" t="s">
        <v>152</v>
      </c>
      <c r="Q13" s="1">
        <f>SUMIFS(Table_1[Jumlah Pembelian],Table_1[kode transaksi],Table_6[[#This Row],[Transaksi]])</f>
        <v>3</v>
      </c>
      <c r="R13" s="4">
        <f>SUMIFS(Table_1[Revenue],Table_1[kode transaksi],Table_6[[#This Row],[Transaksi]])</f>
        <v>738000</v>
      </c>
      <c r="S13" s="7" t="str">
        <f>IF(AND(R13&gt;'Misi 5-1'!Q11,Q13&gt;5),"20%","-")</f>
        <v>-</v>
      </c>
    </row>
    <row r="14" spans="1:19" ht="14.25" customHeight="1" x14ac:dyDescent="0.35">
      <c r="A14" s="1" t="s">
        <v>36</v>
      </c>
      <c r="B14" s="1">
        <f>SUMIFS(Table_1[Jumlah Pembelian],Table_1[kode transaksi],Table_3[[#This Row],[Transaksi]])</f>
        <v>4</v>
      </c>
      <c r="C14" s="4">
        <f>SUMIFS(Table_1[Revenue],Table_1[kode transaksi],Table_3[[#This Row],[Transaksi]])</f>
        <v>1059000</v>
      </c>
      <c r="D14" s="7" t="str">
        <f>IF(AND(C14&gt;'Misi 5-1'!B12,B14&gt;5),"20%","-")</f>
        <v>-</v>
      </c>
      <c r="F14" s="1" t="s">
        <v>80</v>
      </c>
      <c r="G14" s="1">
        <f>SUMIFS(Table_1[Jumlah Pembelian],Table_1[kode transaksi],Table_4[[#This Row],[Transaksi]])</f>
        <v>9</v>
      </c>
      <c r="H14" s="4">
        <f>SUMIFS(Table_1[Revenue],Table_1[kode transaksi],Table_4[[#This Row],[Transaksi]])</f>
        <v>1734000</v>
      </c>
      <c r="I14" s="7" t="str">
        <f>IF(AND(H14&gt;'Misi 5-1'!G12,G14&gt;5),"20%","-")</f>
        <v>20%</v>
      </c>
      <c r="K14" s="1" t="s">
        <v>116</v>
      </c>
      <c r="L14" s="1">
        <f>SUMIFS(Table_1[Jumlah Pembelian],Table_1[kode transaksi],Table_5[[#This Row],[Transaksi]])</f>
        <v>4</v>
      </c>
      <c r="M14" s="2">
        <f>SUMIFS(Table_1[Revenue],Table_1[kode transaksi],Table_5[[#This Row],[Transaksi]])</f>
        <v>942000</v>
      </c>
      <c r="N14" s="7" t="str">
        <f>IF(AND(M14&gt;'Misi 5-1'!L12,L14&gt;5),"20%","-")</f>
        <v>-</v>
      </c>
      <c r="P14" s="1" t="s">
        <v>153</v>
      </c>
      <c r="Q14" s="1">
        <f>SUMIFS(Table_1[Jumlah Pembelian],Table_1[kode transaksi],Table_6[[#This Row],[Transaksi]])</f>
        <v>2</v>
      </c>
      <c r="R14" s="4">
        <f>SUMIFS(Table_1[Revenue],Table_1[kode transaksi],Table_6[[#This Row],[Transaksi]])</f>
        <v>441000</v>
      </c>
      <c r="S14" s="7" t="str">
        <f>IF(AND(R14&gt;'Misi 5-1'!Q12,Q14&gt;5),"20%","-")</f>
        <v>-</v>
      </c>
    </row>
    <row r="15" spans="1:19" ht="14.25" customHeight="1" x14ac:dyDescent="0.35">
      <c r="A15" s="1" t="s">
        <v>38</v>
      </c>
      <c r="B15" s="1">
        <f>SUMIFS(Table_1[Jumlah Pembelian],Table_1[kode transaksi],Table_3[[#This Row],[Transaksi]])</f>
        <v>3</v>
      </c>
      <c r="C15" s="4">
        <f>SUMIFS(Table_1[Revenue],Table_1[kode transaksi],Table_3[[#This Row],[Transaksi]])</f>
        <v>225000</v>
      </c>
      <c r="D15" s="7" t="str">
        <f>IF(AND(C15&gt;'Misi 5-1'!B13,B15&gt;5),"20%","-")</f>
        <v>-</v>
      </c>
      <c r="F15" s="1" t="s">
        <v>81</v>
      </c>
      <c r="G15" s="1">
        <f>SUMIFS(Table_1[Jumlah Pembelian],Table_1[kode transaksi],Table_4[[#This Row],[Transaksi]])</f>
        <v>4</v>
      </c>
      <c r="H15" s="4">
        <f>SUMIFS(Table_1[Revenue],Table_1[kode transaksi],Table_4[[#This Row],[Transaksi]])</f>
        <v>486000</v>
      </c>
      <c r="I15" s="7" t="str">
        <f>IF(AND(H15&gt;'Misi 5-1'!G13,G15&gt;5),"20%","-")</f>
        <v>-</v>
      </c>
      <c r="K15" s="1" t="s">
        <v>117</v>
      </c>
      <c r="L15" s="1">
        <f>SUMIFS(Table_1[Jumlah Pembelian],Table_1[kode transaksi],Table_5[[#This Row],[Transaksi]])</f>
        <v>5</v>
      </c>
      <c r="M15" s="2">
        <f>SUMIFS(Table_1[Revenue],Table_1[kode transaksi],Table_5[[#This Row],[Transaksi]])</f>
        <v>1761000</v>
      </c>
      <c r="N15" s="7" t="str">
        <f>IF(AND(M15&gt;'Misi 5-1'!L13,L15&gt;5),"20%","-")</f>
        <v>-</v>
      </c>
      <c r="P15" s="1" t="s">
        <v>154</v>
      </c>
      <c r="Q15" s="1">
        <f>SUMIFS(Table_1[Jumlah Pembelian],Table_1[kode transaksi],Table_6[[#This Row],[Transaksi]])</f>
        <v>5</v>
      </c>
      <c r="R15" s="4">
        <f>SUMIFS(Table_1[Revenue],Table_1[kode transaksi],Table_6[[#This Row],[Transaksi]])</f>
        <v>885000</v>
      </c>
      <c r="S15" s="7" t="str">
        <f>IF(AND(R15&gt;'Misi 5-1'!Q13,Q15&gt;5),"20%","-")</f>
        <v>-</v>
      </c>
    </row>
    <row r="16" spans="1:19" ht="14.25" customHeight="1" x14ac:dyDescent="0.35">
      <c r="A16" s="1" t="s">
        <v>40</v>
      </c>
      <c r="B16" s="1">
        <f>SUMIFS(Table_1[Jumlah Pembelian],Table_1[kode transaksi],Table_3[[#This Row],[Transaksi]])</f>
        <v>9</v>
      </c>
      <c r="C16" s="4">
        <f>SUMIFS(Table_1[Revenue],Table_1[kode transaksi],Table_3[[#This Row],[Transaksi]])</f>
        <v>3765000</v>
      </c>
      <c r="D16" s="7" t="str">
        <f>IF(AND(C16&gt;'Misi 5-1'!B14,B16&gt;5),"20%","-")</f>
        <v>20%</v>
      </c>
      <c r="F16" s="1" t="s">
        <v>82</v>
      </c>
      <c r="G16" s="1">
        <f>SUMIFS(Table_1[Jumlah Pembelian],Table_1[kode transaksi],Table_4[[#This Row],[Transaksi]])</f>
        <v>6</v>
      </c>
      <c r="H16" s="4">
        <f>SUMIFS(Table_1[Revenue],Table_1[kode transaksi],Table_4[[#This Row],[Transaksi]])</f>
        <v>1368000</v>
      </c>
      <c r="I16" s="7" t="str">
        <f>IF(AND(H16&gt;'Misi 5-1'!G14,G16&gt;5),"20%","-")</f>
        <v>20%</v>
      </c>
      <c r="K16" s="1" t="s">
        <v>118</v>
      </c>
      <c r="L16" s="1">
        <f>SUMIFS(Table_1[Jumlah Pembelian],Table_1[kode transaksi],Table_5[[#This Row],[Transaksi]])</f>
        <v>8</v>
      </c>
      <c r="M16" s="2">
        <f>SUMIFS(Table_1[Revenue],Table_1[kode transaksi],Table_5[[#This Row],[Transaksi]])</f>
        <v>1386000</v>
      </c>
      <c r="N16" s="7" t="str">
        <f>IF(AND(M16&gt;'Misi 5-1'!L14,L16&gt;5),"20%","-")</f>
        <v>20%</v>
      </c>
      <c r="P16" s="1" t="s">
        <v>155</v>
      </c>
      <c r="Q16" s="1">
        <f>SUMIFS(Table_1[Jumlah Pembelian],Table_1[kode transaksi],Table_6[[#This Row],[Transaksi]])</f>
        <v>1</v>
      </c>
      <c r="R16" s="4">
        <f>SUMIFS(Table_1[Revenue],Table_1[kode transaksi],Table_6[[#This Row],[Transaksi]])</f>
        <v>135000</v>
      </c>
      <c r="S16" s="7" t="str">
        <f>IF(AND(R16&gt;'Misi 5-1'!Q14,Q16&gt;5),"20%","-")</f>
        <v>-</v>
      </c>
    </row>
    <row r="17" spans="1:19" ht="14.25" customHeight="1" x14ac:dyDescent="0.35">
      <c r="A17" s="1" t="s">
        <v>41</v>
      </c>
      <c r="B17" s="1">
        <f>SUMIFS(Table_1[Jumlah Pembelian],Table_1[kode transaksi],Table_3[[#This Row],[Transaksi]])</f>
        <v>5</v>
      </c>
      <c r="C17" s="4">
        <f>SUMIFS(Table_1[Revenue],Table_1[kode transaksi],Table_3[[#This Row],[Transaksi]])</f>
        <v>786000</v>
      </c>
      <c r="D17" s="7" t="str">
        <f>IF(AND(C17&gt;'Misi 5-1'!B15,B17&gt;5),"20%","-")</f>
        <v>-</v>
      </c>
      <c r="F17" s="1" t="s">
        <v>83</v>
      </c>
      <c r="G17" s="1">
        <f>SUMIFS(Table_1[Jumlah Pembelian],Table_1[kode transaksi],Table_4[[#This Row],[Transaksi]])</f>
        <v>3</v>
      </c>
      <c r="H17" s="4">
        <f>SUMIFS(Table_1[Revenue],Table_1[kode transaksi],Table_4[[#This Row],[Transaksi]])</f>
        <v>2115000</v>
      </c>
      <c r="I17" s="7" t="str">
        <f>IF(AND(H17&gt;'Misi 5-1'!G15,G17&gt;5),"20%","-")</f>
        <v>-</v>
      </c>
      <c r="K17" s="1" t="s">
        <v>119</v>
      </c>
      <c r="L17" s="1">
        <f>SUMIFS(Table_1[Jumlah Pembelian],Table_1[kode transaksi],Table_5[[#This Row],[Transaksi]])</f>
        <v>3</v>
      </c>
      <c r="M17" s="2">
        <f>SUMIFS(Table_1[Revenue],Table_1[kode transaksi],Table_5[[#This Row],[Transaksi]])</f>
        <v>450000</v>
      </c>
      <c r="N17" s="7" t="str">
        <f>IF(AND(M17&gt;'Misi 5-1'!L15,L17&gt;5),"20%","-")</f>
        <v>-</v>
      </c>
      <c r="P17" s="1" t="s">
        <v>156</v>
      </c>
      <c r="Q17" s="1">
        <f>SUMIFS(Table_1[Jumlah Pembelian],Table_1[kode transaksi],Table_6[[#This Row],[Transaksi]])</f>
        <v>5</v>
      </c>
      <c r="R17" s="4">
        <f>SUMIFS(Table_1[Revenue],Table_1[kode transaksi],Table_6[[#This Row],[Transaksi]])</f>
        <v>1896000</v>
      </c>
      <c r="S17" s="7" t="str">
        <f>IF(AND(R17&gt;'Misi 5-1'!Q15,Q17&gt;5),"20%","-")</f>
        <v>-</v>
      </c>
    </row>
    <row r="18" spans="1:19" ht="14.25" customHeight="1" x14ac:dyDescent="0.35">
      <c r="A18" s="1" t="s">
        <v>43</v>
      </c>
      <c r="B18" s="1">
        <f>SUMIFS(Table_1[Jumlah Pembelian],Table_1[kode transaksi],Table_3[[#This Row],[Transaksi]])</f>
        <v>4</v>
      </c>
      <c r="C18" s="4">
        <f>SUMIFS(Table_1[Revenue],Table_1[kode transaksi],Table_3[[#This Row],[Transaksi]])</f>
        <v>456000</v>
      </c>
      <c r="D18" s="7" t="str">
        <f>IF(AND(C18&gt;'Misi 5-1'!B16,B18&gt;5),"20%","-")</f>
        <v>-</v>
      </c>
      <c r="F18" s="1" t="s">
        <v>85</v>
      </c>
      <c r="G18" s="1">
        <f>SUMIFS(Table_1[Jumlah Pembelian],Table_1[kode transaksi],Table_4[[#This Row],[Transaksi]])</f>
        <v>8</v>
      </c>
      <c r="H18" s="4">
        <f>SUMIFS(Table_1[Revenue],Table_1[kode transaksi],Table_4[[#This Row],[Transaksi]])</f>
        <v>1278000</v>
      </c>
      <c r="I18" s="7" t="str">
        <f>IF(AND(H18&gt;'Misi 5-1'!G16,G18&gt;5),"20%","-")</f>
        <v>20%</v>
      </c>
      <c r="K18" s="1" t="s">
        <v>120</v>
      </c>
      <c r="L18" s="1">
        <f>SUMIFS(Table_1[Jumlah Pembelian],Table_1[kode transaksi],Table_5[[#This Row],[Transaksi]])</f>
        <v>4</v>
      </c>
      <c r="M18" s="2">
        <f>SUMIFS(Table_1[Revenue],Table_1[kode transaksi],Table_5[[#This Row],[Transaksi]])</f>
        <v>1800000</v>
      </c>
      <c r="N18" s="7" t="str">
        <f>IF(AND(M18&gt;'Misi 5-1'!L16,L18&gt;5),"20%","-")</f>
        <v>-</v>
      </c>
      <c r="P18" s="1" t="s">
        <v>157</v>
      </c>
      <c r="Q18" s="1">
        <f>SUMIFS(Table_1[Jumlah Pembelian],Table_1[kode transaksi],Table_6[[#This Row],[Transaksi]])</f>
        <v>8</v>
      </c>
      <c r="R18" s="4">
        <f>SUMIFS(Table_1[Revenue],Table_1[kode transaksi],Table_6[[#This Row],[Transaksi]])</f>
        <v>1227000</v>
      </c>
      <c r="S18" s="7" t="str">
        <f>IF(AND(R18&gt;'Misi 5-1'!Q16,Q18&gt;5),"20%","-")</f>
        <v>20%</v>
      </c>
    </row>
    <row r="19" spans="1:19" ht="14.25" customHeight="1" x14ac:dyDescent="0.35">
      <c r="A19" s="1" t="s">
        <v>44</v>
      </c>
      <c r="B19" s="1">
        <f>SUMIFS(Table_1[Jumlah Pembelian],Table_1[kode transaksi],Table_3[[#This Row],[Transaksi]])</f>
        <v>7</v>
      </c>
      <c r="C19" s="4">
        <f>SUMIFS(Table_1[Revenue],Table_1[kode transaksi],Table_3[[#This Row],[Transaksi]])</f>
        <v>1212000</v>
      </c>
      <c r="D19" s="7" t="str">
        <f>IF(AND(C19&gt;'Misi 5-1'!B17,B19&gt;5),"20%","-")</f>
        <v>20%</v>
      </c>
      <c r="F19" s="1" t="s">
        <v>86</v>
      </c>
      <c r="G19" s="1">
        <f>SUMIFS(Table_1[Jumlah Pembelian],Table_1[kode transaksi],Table_4[[#This Row],[Transaksi]])</f>
        <v>5</v>
      </c>
      <c r="H19" s="4">
        <f>SUMIFS(Table_1[Revenue],Table_1[kode transaksi],Table_4[[#This Row],[Transaksi]])</f>
        <v>2325000</v>
      </c>
      <c r="I19" s="7" t="str">
        <f>IF(AND(H19&gt;'Misi 5-1'!G17,G19&gt;5),"20%","-")</f>
        <v>-</v>
      </c>
      <c r="K19" s="1" t="s">
        <v>121</v>
      </c>
      <c r="L19" s="1">
        <f>SUMIFS(Table_1[Jumlah Pembelian],Table_1[kode transaksi],Table_5[[#This Row],[Transaksi]])</f>
        <v>4</v>
      </c>
      <c r="M19" s="2">
        <f>SUMIFS(Table_1[Revenue],Table_1[kode transaksi],Table_5[[#This Row],[Transaksi]])</f>
        <v>933000</v>
      </c>
      <c r="N19" s="7" t="str">
        <f>IF(AND(M19&gt;'Misi 5-1'!L17,L19&gt;5),"20%","-")</f>
        <v>-</v>
      </c>
      <c r="P19" s="1" t="s">
        <v>158</v>
      </c>
      <c r="Q19" s="1">
        <f>SUMIFS(Table_1[Jumlah Pembelian],Table_1[kode transaksi],Table_6[[#This Row],[Transaksi]])</f>
        <v>4</v>
      </c>
      <c r="R19" s="4">
        <f>SUMIFS(Table_1[Revenue],Table_1[kode transaksi],Table_6[[#This Row],[Transaksi]])</f>
        <v>888000</v>
      </c>
      <c r="S19" s="7" t="str">
        <f>IF(AND(R19&gt;'Misi 5-1'!Q17,Q19&gt;5),"20%","-")</f>
        <v>-</v>
      </c>
    </row>
    <row r="20" spans="1:19" ht="14.25" customHeight="1" x14ac:dyDescent="0.35">
      <c r="A20" s="1" t="s">
        <v>47</v>
      </c>
      <c r="B20" s="1">
        <f>SUMIFS(Table_1[Jumlah Pembelian],Table_1[kode transaksi],Table_3[[#This Row],[Transaksi]])</f>
        <v>4</v>
      </c>
      <c r="C20" s="4">
        <f>SUMIFS(Table_1[Revenue],Table_1[kode transaksi],Table_3[[#This Row],[Transaksi]])</f>
        <v>741000</v>
      </c>
      <c r="D20" s="7" t="str">
        <f>IF(AND(C20&gt;'Misi 5-1'!B18,B20&gt;5),"20%","-")</f>
        <v>-</v>
      </c>
      <c r="F20" s="1" t="s">
        <v>87</v>
      </c>
      <c r="G20" s="1">
        <f>SUMIFS(Table_1[Jumlah Pembelian],Table_1[kode transaksi],Table_4[[#This Row],[Transaksi]])</f>
        <v>5</v>
      </c>
      <c r="H20" s="4">
        <f>SUMIFS(Table_1[Revenue],Table_1[kode transaksi],Table_4[[#This Row],[Transaksi]])</f>
        <v>1134000</v>
      </c>
      <c r="I20" s="7" t="str">
        <f>IF(AND(H20&gt;'Misi 5-1'!G18,G20&gt;5),"20%","-")</f>
        <v>-</v>
      </c>
      <c r="K20" s="1" t="s">
        <v>122</v>
      </c>
      <c r="L20" s="1">
        <f>SUMIFS(Table_1[Jumlah Pembelian],Table_1[kode transaksi],Table_5[[#This Row],[Transaksi]])</f>
        <v>7</v>
      </c>
      <c r="M20" s="2">
        <f>SUMIFS(Table_1[Revenue],Table_1[kode transaksi],Table_5[[#This Row],[Transaksi]])</f>
        <v>2406000</v>
      </c>
      <c r="N20" s="7" t="str">
        <f>IF(AND(M20&gt;'Misi 5-1'!L18,L20&gt;5),"20%","-")</f>
        <v>20%</v>
      </c>
      <c r="P20" s="1" t="s">
        <v>159</v>
      </c>
      <c r="Q20" s="1">
        <f>SUMIFS(Table_1[Jumlah Pembelian],Table_1[kode transaksi],Table_6[[#This Row],[Transaksi]])</f>
        <v>10</v>
      </c>
      <c r="R20" s="4">
        <f>SUMIFS(Table_1[Revenue],Table_1[kode transaksi],Table_6[[#This Row],[Transaksi]])</f>
        <v>2184000</v>
      </c>
      <c r="S20" s="7" t="str">
        <f>IF(AND(R20&gt;'Misi 5-1'!Q18,Q20&gt;5),"20%","-")</f>
        <v>20%</v>
      </c>
    </row>
    <row r="21" spans="1:19" ht="14.25" customHeight="1" x14ac:dyDescent="0.35">
      <c r="A21" s="1" t="s">
        <v>50</v>
      </c>
      <c r="B21" s="1">
        <f>SUMIFS(Table_1[Jumlah Pembelian],Table_1[kode transaksi],Table_3[[#This Row],[Transaksi]])</f>
        <v>1</v>
      </c>
      <c r="C21" s="4">
        <f>SUMIFS(Table_1[Revenue],Table_1[kode transaksi],Table_3[[#This Row],[Transaksi]])</f>
        <v>231000</v>
      </c>
      <c r="D21" s="7" t="str">
        <f>IF(AND(C21&gt;'Misi 5-1'!B19,B21&gt;5),"20%","-")</f>
        <v>-</v>
      </c>
      <c r="F21" s="1" t="s">
        <v>89</v>
      </c>
      <c r="G21" s="1">
        <f>SUMIFS(Table_1[Jumlah Pembelian],Table_1[kode transaksi],Table_4[[#This Row],[Transaksi]])</f>
        <v>6</v>
      </c>
      <c r="H21" s="4">
        <f>SUMIFS(Table_1[Revenue],Table_1[kode transaksi],Table_4[[#This Row],[Transaksi]])</f>
        <v>900000</v>
      </c>
      <c r="I21" s="7" t="str">
        <f>IF(AND(H21&gt;'Misi 5-1'!G19,G21&gt;5),"20%","-")</f>
        <v>20%</v>
      </c>
      <c r="K21" s="1" t="s">
        <v>123</v>
      </c>
      <c r="L21" s="1">
        <f>SUMIFS(Table_1[Jumlah Pembelian],Table_1[kode transaksi],Table_5[[#This Row],[Transaksi]])</f>
        <v>7</v>
      </c>
      <c r="M21" s="2">
        <f>SUMIFS(Table_1[Revenue],Table_1[kode transaksi],Table_5[[#This Row],[Transaksi]])</f>
        <v>1269000</v>
      </c>
      <c r="N21" s="7" t="str">
        <f>IF(AND(M21&gt;'Misi 5-1'!L19,L21&gt;5),"20%","-")</f>
        <v>20%</v>
      </c>
      <c r="P21" s="1" t="s">
        <v>160</v>
      </c>
      <c r="Q21" s="1">
        <f>SUMIFS(Table_1[Jumlah Pembelian],Table_1[kode transaksi],Table_6[[#This Row],[Transaksi]])</f>
        <v>1</v>
      </c>
      <c r="R21" s="4">
        <f>SUMIFS(Table_1[Revenue],Table_1[kode transaksi],Table_6[[#This Row],[Transaksi]])</f>
        <v>267000</v>
      </c>
      <c r="S21" s="7" t="str">
        <f>IF(AND(R21&gt;'Misi 5-1'!Q19,Q21&gt;5),"20%","-")</f>
        <v>-</v>
      </c>
    </row>
    <row r="22" spans="1:19" ht="14.25" customHeight="1" x14ac:dyDescent="0.35">
      <c r="A22" s="1" t="s">
        <v>51</v>
      </c>
      <c r="B22" s="1">
        <f>SUMIFS(Table_1[Jumlah Pembelian],Table_1[kode transaksi],Table_3[[#This Row],[Transaksi]])</f>
        <v>2</v>
      </c>
      <c r="C22" s="4">
        <f>SUMIFS(Table_1[Revenue],Table_1[kode transaksi],Table_3[[#This Row],[Transaksi]])</f>
        <v>885000</v>
      </c>
      <c r="D22" s="7" t="str">
        <f>IF(AND(C22&gt;'Misi 5-1'!B20,B22&gt;5),"20%","-")</f>
        <v>-</v>
      </c>
      <c r="F22" s="1" t="s">
        <v>90</v>
      </c>
      <c r="G22" s="1">
        <f>SUMIFS(Table_1[Jumlah Pembelian],Table_1[kode transaksi],Table_4[[#This Row],[Transaksi]])</f>
        <v>7</v>
      </c>
      <c r="H22" s="4">
        <f>SUMIFS(Table_1[Revenue],Table_1[kode transaksi],Table_4[[#This Row],[Transaksi]])</f>
        <v>2139000</v>
      </c>
      <c r="I22" s="7" t="str">
        <f>IF(AND(H22&gt;'Misi 5-1'!G20,G22&gt;5),"20%","-")</f>
        <v>20%</v>
      </c>
      <c r="K22" s="1" t="s">
        <v>124</v>
      </c>
      <c r="L22" s="1">
        <f>SUMIFS(Table_1[Jumlah Pembelian],Table_1[kode transaksi],Table_5[[#This Row],[Transaksi]])</f>
        <v>3</v>
      </c>
      <c r="M22" s="2">
        <f>SUMIFS(Table_1[Revenue],Table_1[kode transaksi],Table_5[[#This Row],[Transaksi]])</f>
        <v>1698000</v>
      </c>
      <c r="N22" s="7" t="str">
        <f>IF(AND(M22&gt;'Misi 5-1'!L20,L22&gt;5),"20%","-")</f>
        <v>-</v>
      </c>
      <c r="P22" s="1" t="s">
        <v>161</v>
      </c>
      <c r="Q22" s="1">
        <f>SUMIFS(Table_1[Jumlah Pembelian],Table_1[kode transaksi],Table_6[[#This Row],[Transaksi]])</f>
        <v>3</v>
      </c>
      <c r="R22" s="4">
        <f>SUMIFS(Table_1[Revenue],Table_1[kode transaksi],Table_6[[#This Row],[Transaksi]])</f>
        <v>405000</v>
      </c>
      <c r="S22" s="7" t="str">
        <f>IF(AND(R22&gt;'Misi 5-1'!Q20,Q22&gt;5),"20%","-")</f>
        <v>-</v>
      </c>
    </row>
    <row r="23" spans="1:19" ht="14.25" customHeight="1" x14ac:dyDescent="0.35">
      <c r="A23" s="1" t="s">
        <v>52</v>
      </c>
      <c r="B23" s="1">
        <f>SUMIFS(Table_1[Jumlah Pembelian],Table_1[kode transaksi],Table_3[[#This Row],[Transaksi]])</f>
        <v>10</v>
      </c>
      <c r="C23" s="4">
        <f>SUMIFS(Table_1[Revenue],Table_1[kode transaksi],Table_3[[#This Row],[Transaksi]])</f>
        <v>2580000</v>
      </c>
      <c r="D23" s="7" t="str">
        <f>IF(AND(C23&gt;'Misi 5-1'!B21,B23&gt;5),"20%","-")</f>
        <v>20%</v>
      </c>
      <c r="F23" s="1" t="s">
        <v>91</v>
      </c>
      <c r="G23" s="1">
        <f>SUMIFS(Table_1[Jumlah Pembelian],Table_1[kode transaksi],Table_4[[#This Row],[Transaksi]])</f>
        <v>3</v>
      </c>
      <c r="H23" s="4">
        <f>SUMIFS(Table_1[Revenue],Table_1[kode transaksi],Table_4[[#This Row],[Transaksi]])</f>
        <v>546000</v>
      </c>
      <c r="I23" s="7" t="str">
        <f>IF(AND(H23&gt;'Misi 5-1'!G21,G23&gt;5),"20%","-")</f>
        <v>-</v>
      </c>
      <c r="K23" s="1" t="s">
        <v>125</v>
      </c>
      <c r="L23" s="1">
        <f>SUMIFS(Table_1[Jumlah Pembelian],Table_1[kode transaksi],Table_5[[#This Row],[Transaksi]])</f>
        <v>8</v>
      </c>
      <c r="M23" s="2">
        <f>SUMIFS(Table_1[Revenue],Table_1[kode transaksi],Table_5[[#This Row],[Transaksi]])</f>
        <v>2709000</v>
      </c>
      <c r="N23" s="7" t="str">
        <f>IF(AND(M23&gt;'Misi 5-1'!L21,L23&gt;5),"20%","-")</f>
        <v>20%</v>
      </c>
      <c r="P23" s="1" t="s">
        <v>162</v>
      </c>
      <c r="Q23" s="1">
        <f>SUMIFS(Table_1[Jumlah Pembelian],Table_1[kode transaksi],Table_6[[#This Row],[Transaksi]])</f>
        <v>2</v>
      </c>
      <c r="R23" s="4">
        <f>SUMIFS(Table_1[Revenue],Table_1[kode transaksi],Table_6[[#This Row],[Transaksi]])</f>
        <v>210000</v>
      </c>
      <c r="S23" s="7" t="str">
        <f>IF(AND(R23&gt;'Misi 5-1'!Q21,Q23&gt;5),"20%","-")</f>
        <v>-</v>
      </c>
    </row>
    <row r="24" spans="1:19" ht="14.25" customHeight="1" x14ac:dyDescent="0.35">
      <c r="A24" s="1" t="s">
        <v>55</v>
      </c>
      <c r="B24" s="1">
        <f>SUMIFS(Table_1[Jumlah Pembelian],Table_1[kode transaksi],Table_3[[#This Row],[Transaksi]])</f>
        <v>5</v>
      </c>
      <c r="C24" s="4">
        <f>SUMIFS(Table_1[Revenue],Table_1[kode transaksi],Table_3[[#This Row],[Transaksi]])</f>
        <v>2154000</v>
      </c>
      <c r="D24" s="7" t="str">
        <f>IF(AND(C24&gt;'Misi 5-1'!B22,B24&gt;5),"20%","-")</f>
        <v>-</v>
      </c>
      <c r="F24" s="1" t="s">
        <v>92</v>
      </c>
      <c r="G24" s="1">
        <f>SUMIFS(Table_1[Jumlah Pembelian],Table_1[kode transaksi],Table_4[[#This Row],[Transaksi]])</f>
        <v>1</v>
      </c>
      <c r="H24" s="4">
        <f>SUMIFS(Table_1[Revenue],Table_1[kode transaksi],Table_4[[#This Row],[Transaksi]])</f>
        <v>195000</v>
      </c>
      <c r="I24" s="7" t="str">
        <f>IF(AND(H24&gt;'Misi 5-1'!G22,G24&gt;5),"20%","-")</f>
        <v>-</v>
      </c>
      <c r="K24" s="1" t="s">
        <v>126</v>
      </c>
      <c r="L24" s="1">
        <f>SUMIFS(Table_1[Jumlah Pembelian],Table_1[kode transaksi],Table_5[[#This Row],[Transaksi]])</f>
        <v>5</v>
      </c>
      <c r="M24" s="2">
        <f>SUMIFS(Table_1[Revenue],Table_1[kode transaksi],Table_5[[#This Row],[Transaksi]])</f>
        <v>891000</v>
      </c>
      <c r="N24" s="7" t="str">
        <f>IF(AND(M24&gt;'Misi 5-1'!L22,L24&gt;5),"20%","-")</f>
        <v>-</v>
      </c>
      <c r="P24" s="1" t="s">
        <v>163</v>
      </c>
      <c r="Q24" s="1">
        <f>SUMIFS(Table_1[Jumlah Pembelian],Table_1[kode transaksi],Table_6[[#This Row],[Transaksi]])</f>
        <v>2</v>
      </c>
      <c r="R24" s="4">
        <f>SUMIFS(Table_1[Revenue],Table_1[kode transaksi],Table_6[[#This Row],[Transaksi]])</f>
        <v>345000</v>
      </c>
      <c r="S24" s="7" t="str">
        <f>IF(AND(R24&gt;'Misi 5-1'!Q22,Q24&gt;5),"20%","-")</f>
        <v>-</v>
      </c>
    </row>
    <row r="25" spans="1:19" ht="14.25" customHeight="1" x14ac:dyDescent="0.35">
      <c r="A25" s="1" t="s">
        <v>56</v>
      </c>
      <c r="B25" s="1">
        <f>SUMIFS(Table_1[Jumlah Pembelian],Table_1[kode transaksi],Table_3[[#This Row],[Transaksi]])</f>
        <v>4</v>
      </c>
      <c r="C25" s="4">
        <f>SUMIFS(Table_1[Revenue],Table_1[kode transaksi],Table_3[[#This Row],[Transaksi]])</f>
        <v>471000</v>
      </c>
      <c r="D25" s="7" t="str">
        <f>IF(AND(C25&gt;'Misi 5-1'!B23,B25&gt;5),"20%","-")</f>
        <v>-</v>
      </c>
      <c r="F25" s="1" t="s">
        <v>93</v>
      </c>
      <c r="G25" s="1">
        <f>SUMIFS(Table_1[Jumlah Pembelian],Table_1[kode transaksi],Table_4[[#This Row],[Transaksi]])</f>
        <v>9</v>
      </c>
      <c r="H25" s="4">
        <f>SUMIFS(Table_1[Revenue],Table_1[kode transaksi],Table_4[[#This Row],[Transaksi]])</f>
        <v>2064000</v>
      </c>
      <c r="I25" s="7" t="str">
        <f>IF(AND(H25&gt;'Misi 5-1'!G23,G25&gt;5),"20%","-")</f>
        <v>20%</v>
      </c>
      <c r="K25" s="1" t="s">
        <v>127</v>
      </c>
      <c r="L25" s="1">
        <f>SUMIFS(Table_1[Jumlah Pembelian],Table_1[kode transaksi],Table_5[[#This Row],[Transaksi]])</f>
        <v>2</v>
      </c>
      <c r="M25" s="2">
        <f>SUMIFS(Table_1[Revenue],Table_1[kode transaksi],Table_5[[#This Row],[Transaksi]])</f>
        <v>534000</v>
      </c>
      <c r="N25" s="7" t="str">
        <f>IF(AND(M25&gt;'Misi 5-1'!L23,L25&gt;5),"20%","-")</f>
        <v>-</v>
      </c>
      <c r="P25" s="1" t="s">
        <v>164</v>
      </c>
      <c r="Q25" s="1">
        <f>SUMIFS(Table_1[Jumlah Pembelian],Table_1[kode transaksi],Table_6[[#This Row],[Transaksi]])</f>
        <v>6</v>
      </c>
      <c r="R25" s="4">
        <f>SUMIFS(Table_1[Revenue],Table_1[kode transaksi],Table_6[[#This Row],[Transaksi]])</f>
        <v>1182000</v>
      </c>
      <c r="S25" s="7" t="str">
        <f>IF(AND(R25&gt;'Misi 5-1'!Q23,Q25&gt;5),"20%","-")</f>
        <v>20%</v>
      </c>
    </row>
    <row r="26" spans="1:19" ht="14.25" customHeight="1" x14ac:dyDescent="0.35">
      <c r="A26" s="1" t="s">
        <v>57</v>
      </c>
      <c r="B26" s="1">
        <f>SUMIFS(Table_1[Jumlah Pembelian],Table_1[kode transaksi],Table_3[[#This Row],[Transaksi]])</f>
        <v>10</v>
      </c>
      <c r="C26" s="4">
        <f>SUMIFS(Table_1[Revenue],Table_1[kode transaksi],Table_3[[#This Row],[Transaksi]])</f>
        <v>1569000</v>
      </c>
      <c r="D26" s="7" t="str">
        <f>IF(AND(C26&gt;'Misi 5-1'!B24,B26&gt;5),"20%","-")</f>
        <v>20%</v>
      </c>
      <c r="F26" s="1" t="s">
        <v>94</v>
      </c>
      <c r="G26" s="1">
        <f>SUMIFS(Table_1[Jumlah Pembelian],Table_1[kode transaksi],Table_4[[#This Row],[Transaksi]])</f>
        <v>4</v>
      </c>
      <c r="H26" s="4">
        <f>SUMIFS(Table_1[Revenue],Table_1[kode transaksi],Table_4[[#This Row],[Transaksi]])</f>
        <v>1872000</v>
      </c>
      <c r="I26" s="7" t="str">
        <f>IF(AND(H26&gt;'Misi 5-1'!G24,G26&gt;5),"20%","-")</f>
        <v>-</v>
      </c>
      <c r="K26" s="1" t="s">
        <v>128</v>
      </c>
      <c r="L26" s="1">
        <f>SUMIFS(Table_1[Jumlah Pembelian],Table_1[kode transaksi],Table_5[[#This Row],[Transaksi]])</f>
        <v>10</v>
      </c>
      <c r="M26" s="2">
        <f>SUMIFS(Table_1[Revenue],Table_1[kode transaksi],Table_5[[#This Row],[Transaksi]])</f>
        <v>3558000</v>
      </c>
      <c r="N26" s="7" t="str">
        <f>IF(AND(M26&gt;'Misi 5-1'!L24,L26&gt;5),"20%","-")</f>
        <v>20%</v>
      </c>
      <c r="P26" s="1" t="s">
        <v>165</v>
      </c>
      <c r="Q26" s="1">
        <f>SUMIFS(Table_1[Jumlah Pembelian],Table_1[kode transaksi],Table_6[[#This Row],[Transaksi]])</f>
        <v>4</v>
      </c>
      <c r="R26" s="4">
        <f>SUMIFS(Table_1[Revenue],Table_1[kode transaksi],Table_6[[#This Row],[Transaksi]])</f>
        <v>351000</v>
      </c>
      <c r="S26" s="7" t="str">
        <f>IF(AND(R26&gt;'Misi 5-1'!Q24,Q26&gt;5),"20%","-")</f>
        <v>-</v>
      </c>
    </row>
    <row r="27" spans="1:19" ht="14.25" customHeight="1" x14ac:dyDescent="0.35">
      <c r="A27" s="1" t="s">
        <v>58</v>
      </c>
      <c r="B27" s="1">
        <f>SUMIFS(Table_1[Jumlah Pembelian],Table_1[kode transaksi],Table_3[[#This Row],[Transaksi]])</f>
        <v>6</v>
      </c>
      <c r="C27" s="4">
        <f>SUMIFS(Table_1[Revenue],Table_1[kode transaksi],Table_3[[#This Row],[Transaksi]])</f>
        <v>810000</v>
      </c>
      <c r="D27" s="7" t="str">
        <f>IF(AND(C27&gt;'Misi 5-1'!B25,B27&gt;5),"20%","-")</f>
        <v>20%</v>
      </c>
      <c r="F27" s="1" t="s">
        <v>95</v>
      </c>
      <c r="G27" s="1">
        <f>SUMIFS(Table_1[Jumlah Pembelian],Table_1[kode transaksi],Table_4[[#This Row],[Transaksi]])</f>
        <v>2</v>
      </c>
      <c r="H27" s="4">
        <f>SUMIFS(Table_1[Revenue],Table_1[kode transaksi],Table_4[[#This Row],[Transaksi]])</f>
        <v>336000</v>
      </c>
      <c r="I27" s="7" t="str">
        <f>IF(AND(H27&gt;'Misi 5-1'!G25,G27&gt;5),"20%","-")</f>
        <v>-</v>
      </c>
      <c r="K27" s="1" t="s">
        <v>129</v>
      </c>
      <c r="L27" s="1">
        <f>SUMIFS(Table_1[Jumlah Pembelian],Table_1[kode transaksi],Table_5[[#This Row],[Transaksi]])</f>
        <v>6</v>
      </c>
      <c r="M27" s="2">
        <f>SUMIFS(Table_1[Revenue],Table_1[kode transaksi],Table_5[[#This Row],[Transaksi]])</f>
        <v>1359000</v>
      </c>
      <c r="N27" s="7" t="str">
        <f>IF(AND(M27&gt;'Misi 5-1'!L25,L27&gt;5),"20%","-")</f>
        <v>20%</v>
      </c>
      <c r="P27" s="1" t="s">
        <v>166</v>
      </c>
      <c r="Q27" s="1">
        <f>SUMIFS(Table_1[Jumlah Pembelian],Table_1[kode transaksi],Table_6[[#This Row],[Transaksi]])</f>
        <v>3</v>
      </c>
      <c r="R27" s="4">
        <f>SUMIFS(Table_1[Revenue],Table_1[kode transaksi],Table_6[[#This Row],[Transaksi]])</f>
        <v>282000</v>
      </c>
      <c r="S27" s="7" t="str">
        <f>IF(AND(R27&gt;'Misi 5-1'!Q25,Q27&gt;5),"20%","-")</f>
        <v>-</v>
      </c>
    </row>
    <row r="28" spans="1:19" ht="14.25" customHeight="1" x14ac:dyDescent="0.35">
      <c r="A28" s="1" t="s">
        <v>60</v>
      </c>
      <c r="B28" s="1">
        <f>SUMIFS(Table_1[Jumlah Pembelian],Table_1[kode transaksi],Table_3[[#This Row],[Transaksi]])</f>
        <v>3</v>
      </c>
      <c r="C28" s="4">
        <f>SUMIFS(Table_1[Revenue],Table_1[kode transaksi],Table_3[[#This Row],[Transaksi]])</f>
        <v>768000</v>
      </c>
      <c r="D28" s="7" t="str">
        <f>IF(AND(C28&gt;'Misi 5-1'!B26,B28&gt;5),"20%","-")</f>
        <v>-</v>
      </c>
      <c r="F28" s="1" t="s">
        <v>96</v>
      </c>
      <c r="G28" s="1">
        <f>SUMIFS(Table_1[Jumlah Pembelian],Table_1[kode transaksi],Table_4[[#This Row],[Transaksi]])</f>
        <v>11</v>
      </c>
      <c r="H28" s="4">
        <f>SUMIFS(Table_1[Revenue],Table_1[kode transaksi],Table_4[[#This Row],[Transaksi]])</f>
        <v>1782000</v>
      </c>
      <c r="I28" s="7" t="str">
        <f>IF(AND(H28&gt;'Misi 5-1'!G26,G28&gt;5),"20%","-")</f>
        <v>20%</v>
      </c>
      <c r="K28" s="1" t="s">
        <v>130</v>
      </c>
      <c r="L28" s="1">
        <f>SUMIFS(Table_1[Jumlah Pembelian],Table_1[kode transaksi],Table_5[[#This Row],[Transaksi]])</f>
        <v>9</v>
      </c>
      <c r="M28" s="2">
        <f>SUMIFS(Table_1[Revenue],Table_1[kode transaksi],Table_5[[#This Row],[Transaksi]])</f>
        <v>3681000</v>
      </c>
      <c r="N28" s="7" t="str">
        <f>IF(AND(M28&gt;'Misi 5-1'!L26,L28&gt;5),"20%","-")</f>
        <v>20%</v>
      </c>
      <c r="P28" s="1" t="s">
        <v>167</v>
      </c>
      <c r="Q28" s="1">
        <f>SUMIFS(Table_1[Jumlah Pembelian],Table_1[kode transaksi],Table_6[[#This Row],[Transaksi]])</f>
        <v>6</v>
      </c>
      <c r="R28" s="4">
        <f>SUMIFS(Table_1[Revenue],Table_1[kode transaksi],Table_6[[#This Row],[Transaksi]])</f>
        <v>2295000</v>
      </c>
      <c r="S28" s="7" t="str">
        <f>IF(AND(R28&gt;'Misi 5-1'!Q26,Q28&gt;5),"20%","-")</f>
        <v>20%</v>
      </c>
    </row>
    <row r="29" spans="1:19" ht="14.25" customHeight="1" x14ac:dyDescent="0.35">
      <c r="A29" s="1" t="s">
        <v>61</v>
      </c>
      <c r="B29" s="1">
        <f>SUMIFS(Table_1[Jumlah Pembelian],Table_1[kode transaksi],Table_3[[#This Row],[Transaksi]])</f>
        <v>7</v>
      </c>
      <c r="C29" s="4">
        <f>SUMIFS(Table_1[Revenue],Table_1[kode transaksi],Table_3[[#This Row],[Transaksi]])</f>
        <v>3000000</v>
      </c>
      <c r="D29" s="7" t="str">
        <f>IF(AND(C29&gt;'Misi 5-1'!B27,B29&gt;5),"20%","-")</f>
        <v>20%</v>
      </c>
      <c r="F29" s="1" t="s">
        <v>97</v>
      </c>
      <c r="G29" s="1">
        <f>SUMIFS(Table_1[Jumlah Pembelian],Table_1[kode transaksi],Table_4[[#This Row],[Transaksi]])</f>
        <v>6</v>
      </c>
      <c r="H29" s="4">
        <f>SUMIFS(Table_1[Revenue],Table_1[kode transaksi],Table_4[[#This Row],[Transaksi]])</f>
        <v>1278000</v>
      </c>
      <c r="I29" s="7" t="str">
        <f>IF(AND(H29&gt;'Misi 5-1'!G27,G29&gt;5),"20%","-")</f>
        <v>20%</v>
      </c>
      <c r="K29" s="1" t="s">
        <v>131</v>
      </c>
      <c r="L29" s="1">
        <f>SUMIFS(Table_1[Jumlah Pembelian],Table_1[kode transaksi],Table_5[[#This Row],[Transaksi]])</f>
        <v>3</v>
      </c>
      <c r="M29" s="2">
        <f>SUMIFS(Table_1[Revenue],Table_1[kode transaksi],Table_5[[#This Row],[Transaksi]])</f>
        <v>504000</v>
      </c>
      <c r="N29" s="7" t="str">
        <f>IF(AND(M29&gt;'Misi 5-1'!L27,L29&gt;5),"20%","-")</f>
        <v>-</v>
      </c>
      <c r="P29" s="1" t="s">
        <v>168</v>
      </c>
      <c r="Q29" s="1">
        <f>SUMIFS(Table_1[Jumlah Pembelian],Table_1[kode transaksi],Table_6[[#This Row],[Transaksi]])</f>
        <v>4</v>
      </c>
      <c r="R29" s="4">
        <f>SUMIFS(Table_1[Revenue],Table_1[kode transaksi],Table_6[[#This Row],[Transaksi]])</f>
        <v>432000</v>
      </c>
      <c r="S29" s="7" t="str">
        <f>IF(AND(R29&gt;'Misi 5-1'!Q27,Q29&gt;5),"20%","-")</f>
        <v>-</v>
      </c>
    </row>
    <row r="30" spans="1:19" ht="14.25" customHeight="1" x14ac:dyDescent="0.35">
      <c r="A30" s="1" t="s">
        <v>62</v>
      </c>
      <c r="B30" s="1">
        <f>SUMIFS(Table_1[Jumlah Pembelian],Table_1[kode transaksi],Table_3[[#This Row],[Transaksi]])</f>
        <v>6</v>
      </c>
      <c r="C30" s="4">
        <f>SUMIFS(Table_1[Revenue],Table_1[kode transaksi],Table_3[[#This Row],[Transaksi]])</f>
        <v>804000</v>
      </c>
      <c r="D30" s="7" t="str">
        <f>IF(AND(C30&gt;'Misi 5-1'!B28,B30&gt;5),"20%","-")</f>
        <v>20%</v>
      </c>
      <c r="F30" s="1" t="s">
        <v>98</v>
      </c>
      <c r="G30" s="1">
        <f>SUMIFS(Table_1[Jumlah Pembelian],Table_1[kode transaksi],Table_4[[#This Row],[Transaksi]])</f>
        <v>5</v>
      </c>
      <c r="H30" s="4">
        <f>SUMIFS(Table_1[Revenue],Table_1[kode transaksi],Table_4[[#This Row],[Transaksi]])</f>
        <v>2553000</v>
      </c>
      <c r="I30" s="7" t="str">
        <f>IF(AND(H30&gt;'Misi 5-1'!G28,G30&gt;5),"20%","-")</f>
        <v>-</v>
      </c>
      <c r="K30" s="1" t="s">
        <v>132</v>
      </c>
      <c r="L30" s="1">
        <f>SUMIFS(Table_1[Jumlah Pembelian],Table_1[kode transaksi],Table_5[[#This Row],[Transaksi]])</f>
        <v>1</v>
      </c>
      <c r="M30" s="2">
        <f>SUMIFS(Table_1[Revenue],Table_1[kode transaksi],Table_5[[#This Row],[Transaksi]])</f>
        <v>135000</v>
      </c>
      <c r="N30" s="7" t="str">
        <f>IF(AND(M30&gt;'Misi 5-1'!L28,L30&gt;5),"20%","-")</f>
        <v>-</v>
      </c>
      <c r="P30" s="1" t="s">
        <v>169</v>
      </c>
      <c r="Q30" s="1">
        <f>SUMIFS(Table_1[Jumlah Pembelian],Table_1[kode transaksi],Table_6[[#This Row],[Transaksi]])</f>
        <v>4</v>
      </c>
      <c r="R30" s="4">
        <f>SUMIFS(Table_1[Revenue],Table_1[kode transaksi],Table_6[[#This Row],[Transaksi]])</f>
        <v>1002000</v>
      </c>
      <c r="S30" s="7" t="str">
        <f>IF(AND(R30&gt;'Misi 5-1'!Q28,Q30&gt;5),"20%","-")</f>
        <v>-</v>
      </c>
    </row>
    <row r="31" spans="1:19" ht="14.25" customHeight="1" x14ac:dyDescent="0.35">
      <c r="A31" s="1" t="s">
        <v>64</v>
      </c>
      <c r="B31" s="1">
        <f>SUMIFS(Table_1[Jumlah Pembelian],Table_1[kode transaksi],Table_3[[#This Row],[Transaksi]])</f>
        <v>5</v>
      </c>
      <c r="C31" s="4">
        <f>SUMIFS(Table_1[Revenue],Table_1[kode transaksi],Table_3[[#This Row],[Transaksi]])</f>
        <v>897000</v>
      </c>
      <c r="D31" s="7" t="str">
        <f>IF(AND(C31&gt;'Misi 5-1'!B29,B31&gt;5),"20%","-")</f>
        <v>-</v>
      </c>
      <c r="F31" s="1" t="s">
        <v>99</v>
      </c>
      <c r="G31" s="1">
        <f>SUMIFS(Table_1[Jumlah Pembelian],Table_1[kode transaksi],Table_4[[#This Row],[Transaksi]])</f>
        <v>1</v>
      </c>
      <c r="H31" s="4">
        <f>SUMIFS(Table_1[Revenue],Table_1[kode transaksi],Table_4[[#This Row],[Transaksi]])</f>
        <v>21000</v>
      </c>
      <c r="I31" s="7" t="str">
        <f>IF(AND(H31&gt;'Misi 5-1'!G29,G31&gt;5),"20%","-")</f>
        <v>-</v>
      </c>
      <c r="K31" s="1" t="s">
        <v>133</v>
      </c>
      <c r="L31" s="1">
        <f>SUMIFS(Table_1[Jumlah Pembelian],Table_1[kode transaksi],Table_5[[#This Row],[Transaksi]])</f>
        <v>5</v>
      </c>
      <c r="M31" s="2">
        <f>SUMIFS(Table_1[Revenue],Table_1[kode transaksi],Table_5[[#This Row],[Transaksi]])</f>
        <v>2001000</v>
      </c>
      <c r="N31" s="7" t="str">
        <f>IF(AND(M31&gt;'Misi 5-1'!L29,L31&gt;5),"20%","-")</f>
        <v>-</v>
      </c>
      <c r="P31" s="1" t="s">
        <v>170</v>
      </c>
      <c r="Q31" s="1">
        <f>SUMIFS(Table_1[Jumlah Pembelian],Table_1[kode transaksi],Table_6[[#This Row],[Transaksi]])</f>
        <v>2</v>
      </c>
      <c r="R31" s="4">
        <f>SUMIFS(Table_1[Revenue],Table_1[kode transaksi],Table_6[[#This Row],[Transaksi]])</f>
        <v>348000</v>
      </c>
      <c r="S31" s="7" t="str">
        <f>IF(AND(R31&gt;'Misi 5-1'!Q29,Q31&gt;5),"20%","-")</f>
        <v>-</v>
      </c>
    </row>
    <row r="32" spans="1:19" ht="14.25" customHeight="1" x14ac:dyDescent="0.35">
      <c r="A32" s="1" t="s">
        <v>65</v>
      </c>
      <c r="B32" s="1">
        <f>SUMIFS(Table_1[Jumlah Pembelian],Table_1[kode transaksi],Table_3[[#This Row],[Transaksi]])</f>
        <v>3</v>
      </c>
      <c r="C32" s="4">
        <f>SUMIFS(Table_1[Revenue],Table_1[kode transaksi],Table_3[[#This Row],[Transaksi]])</f>
        <v>582000</v>
      </c>
      <c r="D32" s="7" t="str">
        <f>IF(AND(C32&gt;'Misi 5-1'!B30,B32&gt;5),"20%","-")</f>
        <v>-</v>
      </c>
      <c r="F32" s="1" t="s">
        <v>100</v>
      </c>
      <c r="G32" s="1">
        <f>SUMIFS(Table_1[Jumlah Pembelian],Table_1[kode transaksi],Table_4[[#This Row],[Transaksi]])</f>
        <v>7</v>
      </c>
      <c r="H32" s="4">
        <f>SUMIFS(Table_1[Revenue],Table_1[kode transaksi],Table_4[[#This Row],[Transaksi]])</f>
        <v>771000</v>
      </c>
      <c r="I32" s="7" t="str">
        <f>IF(AND(H32&gt;'Misi 5-1'!G30,G32&gt;5),"20%","-")</f>
        <v>20%</v>
      </c>
      <c r="K32" s="1" t="s">
        <v>134</v>
      </c>
      <c r="L32" s="1">
        <f>SUMIFS(Table_1[Jumlah Pembelian],Table_1[kode transaksi],Table_5[[#This Row],[Transaksi]])</f>
        <v>3</v>
      </c>
      <c r="M32" s="2">
        <f>SUMIFS(Table_1[Revenue],Table_1[kode transaksi],Table_5[[#This Row],[Transaksi]])</f>
        <v>1359000</v>
      </c>
      <c r="N32" s="7" t="str">
        <f>IF(AND(M32&gt;'Misi 5-1'!L30,L32&gt;5),"20%","-")</f>
        <v>-</v>
      </c>
      <c r="P32" s="1" t="s">
        <v>171</v>
      </c>
      <c r="Q32" s="1">
        <f>SUMIFS(Table_1[Jumlah Pembelian],Table_1[kode transaksi],Table_6[[#This Row],[Transaksi]])</f>
        <v>6</v>
      </c>
      <c r="R32" s="4">
        <f>SUMIFS(Table_1[Revenue],Table_1[kode transaksi],Table_6[[#This Row],[Transaksi]])</f>
        <v>981000</v>
      </c>
      <c r="S32" s="7" t="str">
        <f>IF(AND(R32&gt;'Misi 5-1'!Q30,Q32&gt;5),"20%","-")</f>
        <v>20%</v>
      </c>
    </row>
    <row r="33" spans="1:19" ht="14.25" customHeight="1" x14ac:dyDescent="0.35">
      <c r="A33" s="1" t="s">
        <v>66</v>
      </c>
      <c r="B33" s="1">
        <f>SUMIFS(Table_1[Jumlah Pembelian],Table_1[kode transaksi],Table_3[[#This Row],[Transaksi]])</f>
        <v>1</v>
      </c>
      <c r="C33" s="4">
        <f>SUMIFS(Table_1[Revenue],Table_1[kode transaksi],Table_3[[#This Row],[Transaksi]])</f>
        <v>402000</v>
      </c>
      <c r="D33" s="7" t="str">
        <f>IF(AND(C33&gt;'Misi 5-1'!B31,B33&gt;5),"20%","-")</f>
        <v>-</v>
      </c>
      <c r="F33" s="1" t="s">
        <v>101</v>
      </c>
      <c r="G33" s="1">
        <f>SUMIFS(Table_1[Jumlah Pembelian],Table_1[kode transaksi],Table_4[[#This Row],[Transaksi]])</f>
        <v>5</v>
      </c>
      <c r="H33" s="4">
        <f>SUMIFS(Table_1[Revenue],Table_1[kode transaksi],Table_4[[#This Row],[Transaksi]])</f>
        <v>273000</v>
      </c>
      <c r="I33" s="7" t="str">
        <f>IF(AND(H33&gt;'Misi 5-1'!G31,G33&gt;5),"20%","-")</f>
        <v>-</v>
      </c>
      <c r="K33" s="1" t="s">
        <v>135</v>
      </c>
      <c r="L33" s="1">
        <f>SUMIFS(Table_1[Jumlah Pembelian],Table_1[kode transaksi],Table_5[[#This Row],[Transaksi]])</f>
        <v>2</v>
      </c>
      <c r="M33" s="2">
        <f>SUMIFS(Table_1[Revenue],Table_1[kode transaksi],Table_5[[#This Row],[Transaksi]])</f>
        <v>210000</v>
      </c>
      <c r="N33" s="7" t="str">
        <f>IF(AND(M33&gt;'Misi 5-1'!L31,L33&gt;5),"20%","-")</f>
        <v>-</v>
      </c>
      <c r="P33" s="1" t="s">
        <v>172</v>
      </c>
      <c r="Q33" s="1">
        <f>SUMIFS(Table_1[Jumlah Pembelian],Table_1[kode transaksi],Table_6[[#This Row],[Transaksi]])</f>
        <v>2</v>
      </c>
      <c r="R33" s="4">
        <f>SUMIFS(Table_1[Revenue],Table_1[kode transaksi],Table_6[[#This Row],[Transaksi]])</f>
        <v>552000</v>
      </c>
      <c r="S33" s="7" t="str">
        <f>IF(AND(R33&gt;'Misi 5-1'!Q31,Q33&gt;5),"20%","-")</f>
        <v>-</v>
      </c>
    </row>
    <row r="34" spans="1:19" ht="14.25" customHeight="1" x14ac:dyDescent="0.35">
      <c r="A34" s="1" t="s">
        <v>67</v>
      </c>
      <c r="B34" s="1">
        <f>SUMIFS(Table_1[Jumlah Pembelian],Table_1[kode transaksi],Table_3[[#This Row],[Transaksi]])</f>
        <v>1</v>
      </c>
      <c r="C34" s="4">
        <f>SUMIFS(Table_1[Revenue],Table_1[kode transaksi],Table_3[[#This Row],[Transaksi]])</f>
        <v>105000</v>
      </c>
      <c r="D34" s="7" t="str">
        <f>IF(AND(C34&gt;'Misi 5-1'!B32,B34&gt;5),"20%","-")</f>
        <v>-</v>
      </c>
      <c r="F34" s="1" t="s">
        <v>102</v>
      </c>
      <c r="G34" s="1">
        <f>SUMIFS(Table_1[Jumlah Pembelian],Table_1[kode transaksi],Table_4[[#This Row],[Transaksi]])</f>
        <v>3</v>
      </c>
      <c r="H34" s="4">
        <f>SUMIFS(Table_1[Revenue],Table_1[kode transaksi],Table_4[[#This Row],[Transaksi]])</f>
        <v>585000</v>
      </c>
      <c r="I34" s="7" t="str">
        <f>IF(AND(H34&gt;'Misi 5-1'!G32,G34&gt;5),"20%","-")</f>
        <v>-</v>
      </c>
      <c r="K34" s="1" t="s">
        <v>136</v>
      </c>
      <c r="L34" s="1">
        <f>SUMIFS(Table_1[Jumlah Pembelian],Table_1[kode transaksi],Table_5[[#This Row],[Transaksi]])</f>
        <v>1</v>
      </c>
      <c r="M34" s="2">
        <f>SUMIFS(Table_1[Revenue],Table_1[kode transaksi],Table_5[[#This Row],[Transaksi]])</f>
        <v>231000</v>
      </c>
      <c r="N34" s="7" t="str">
        <f>IF(AND(M34&gt;'Misi 5-1'!L32,L34&gt;5),"20%","-")</f>
        <v>-</v>
      </c>
      <c r="P34" s="1" t="s">
        <v>173</v>
      </c>
      <c r="Q34" s="1">
        <f>SUMIFS(Table_1[Jumlah Pembelian],Table_1[kode transaksi],Table_6[[#This Row],[Transaksi]])</f>
        <v>1</v>
      </c>
      <c r="R34" s="4">
        <f>SUMIFS(Table_1[Revenue],Table_1[kode transaksi],Table_6[[#This Row],[Transaksi]])</f>
        <v>141000</v>
      </c>
      <c r="S34" s="7" t="str">
        <f>IF(AND(R34&gt;'Misi 5-1'!Q32,Q34&gt;5),"20%","-")</f>
        <v>-</v>
      </c>
    </row>
    <row r="35" spans="1:19" ht="14.25" customHeight="1" x14ac:dyDescent="0.35">
      <c r="A35" s="1" t="s">
        <v>68</v>
      </c>
      <c r="B35" s="1">
        <f>SUMIFS(Table_1[Jumlah Pembelian],Table_1[kode transaksi],Table_3[[#This Row],[Transaksi]])</f>
        <v>5</v>
      </c>
      <c r="C35" s="4">
        <f>SUMIFS(Table_1[Revenue],Table_1[kode transaksi],Table_3[[#This Row],[Transaksi]])</f>
        <v>1125000</v>
      </c>
      <c r="D35" s="7" t="str">
        <f>IF(AND(C35&gt;'Misi 5-1'!B33,B35&gt;5),"20%","-")</f>
        <v>-</v>
      </c>
      <c r="F35" s="1" t="s">
        <v>103</v>
      </c>
      <c r="G35" s="1">
        <f>SUMIFS(Table_1[Jumlah Pembelian],Table_1[kode transaksi],Table_4[[#This Row],[Transaksi]])</f>
        <v>5</v>
      </c>
      <c r="H35" s="4">
        <f>SUMIFS(Table_1[Revenue],Table_1[kode transaksi],Table_4[[#This Row],[Transaksi]])</f>
        <v>1128000</v>
      </c>
      <c r="I35" s="7" t="str">
        <f>IF(AND(H35&gt;'Misi 5-1'!G33,G35&gt;5),"20%","-")</f>
        <v>-</v>
      </c>
      <c r="K35" s="1" t="s">
        <v>137</v>
      </c>
      <c r="L35" s="1">
        <f>SUMIFS(Table_1[Jumlah Pembelian],Table_1[kode transaksi],Table_5[[#This Row],[Transaksi]])</f>
        <v>6</v>
      </c>
      <c r="M35" s="2">
        <f>SUMIFS(Table_1[Revenue],Table_1[kode transaksi],Table_5[[#This Row],[Transaksi]])</f>
        <v>873000</v>
      </c>
      <c r="N35" s="7" t="str">
        <f>IF(AND(M35&gt;'Misi 5-1'!L33,L35&gt;5),"20%","-")</f>
        <v>20%</v>
      </c>
      <c r="P35" s="1" t="s">
        <v>174</v>
      </c>
      <c r="Q35" s="1">
        <f>SUMIFS(Table_1[Jumlah Pembelian],Table_1[kode transaksi],Table_6[[#This Row],[Transaksi]])</f>
        <v>6</v>
      </c>
      <c r="R35" s="4">
        <f>SUMIFS(Table_1[Revenue],Table_1[kode transaksi],Table_6[[#This Row],[Transaksi]])</f>
        <v>1830000</v>
      </c>
      <c r="S35" s="7" t="str">
        <f>IF(AND(R35&gt;'Misi 5-1'!Q33,Q35&gt;5),"20%","-")</f>
        <v>20%</v>
      </c>
    </row>
    <row r="36" spans="1:19" ht="14.25" customHeight="1" x14ac:dyDescent="0.35">
      <c r="A36" s="1" t="s">
        <v>69</v>
      </c>
      <c r="B36" s="1">
        <f>SUMIFS(Table_1[Jumlah Pembelian],Table_1[kode transaksi],Table_3[[#This Row],[Transaksi]])</f>
        <v>7</v>
      </c>
      <c r="C36" s="4">
        <f>SUMIFS(Table_1[Revenue],Table_1[kode transaksi],Table_3[[#This Row],[Transaksi]])</f>
        <v>1254000</v>
      </c>
      <c r="D36" s="7" t="str">
        <f>IF(AND(C36&gt;'Misi 5-1'!B34,B36&gt;5),"20%","-")</f>
        <v>20%</v>
      </c>
      <c r="F36" s="1" t="s">
        <v>104</v>
      </c>
      <c r="G36" s="1">
        <f>SUMIFS(Table_1[Jumlah Pembelian],Table_1[kode transaksi],Table_4[[#This Row],[Transaksi]])</f>
        <v>3</v>
      </c>
      <c r="H36" s="4">
        <f>SUMIFS(Table_1[Revenue],Table_1[kode transaksi],Table_4[[#This Row],[Transaksi]])</f>
        <v>495000</v>
      </c>
      <c r="I36" s="7" t="str">
        <f>IF(AND(H36&gt;'Misi 5-1'!G34,G36&gt;5),"20%","-")</f>
        <v>-</v>
      </c>
      <c r="K36" s="1" t="s">
        <v>138</v>
      </c>
      <c r="L36" s="1">
        <f>SUMIFS(Table_1[Jumlah Pembelian],Table_1[kode transaksi],Table_5[[#This Row],[Transaksi]])</f>
        <v>4</v>
      </c>
      <c r="M36" s="2">
        <f>SUMIFS(Table_1[Revenue],Table_1[kode transaksi],Table_5[[#This Row],[Transaksi]])</f>
        <v>780000</v>
      </c>
      <c r="N36" s="7" t="str">
        <f>IF(AND(M36&gt;'Misi 5-1'!L34,L36&gt;5),"20%","-")</f>
        <v>-</v>
      </c>
      <c r="P36" s="1" t="s">
        <v>175</v>
      </c>
      <c r="Q36" s="1">
        <f>SUMIFS(Table_1[Jumlah Pembelian],Table_1[kode transaksi],Table_6[[#This Row],[Transaksi]])</f>
        <v>2</v>
      </c>
      <c r="R36" s="4">
        <f>SUMIFS(Table_1[Revenue],Table_1[kode transaksi],Table_6[[#This Row],[Transaksi]])</f>
        <v>498000</v>
      </c>
      <c r="S36" s="7" t="str">
        <f>IF(AND(R36&gt;'Misi 5-1'!Q34,Q36&gt;5),"20%","-")</f>
        <v>-</v>
      </c>
    </row>
    <row r="37" spans="1:19" ht="14.25" customHeight="1" x14ac:dyDescent="0.35">
      <c r="A37" s="1" t="s">
        <v>70</v>
      </c>
      <c r="B37" s="1">
        <f>SUMIFS(Table_1[Jumlah Pembelian],Table_1[kode transaksi],Table_3[[#This Row],[Transaksi]])</f>
        <v>1</v>
      </c>
      <c r="C37" s="4">
        <f>SUMIFS(Table_1[Revenue],Table_1[kode transaksi],Table_3[[#This Row],[Transaksi]])</f>
        <v>597000</v>
      </c>
      <c r="D37" s="7" t="str">
        <f>IF(AND(C37&gt;'Misi 5-1'!B35,B37&gt;5),"20%","-")</f>
        <v>-</v>
      </c>
      <c r="F37" s="1" t="s">
        <v>105</v>
      </c>
      <c r="G37" s="1">
        <f>SUMIFS(Table_1[Jumlah Pembelian],Table_1[kode transaksi],Table_4[[#This Row],[Transaksi]])</f>
        <v>5</v>
      </c>
      <c r="H37" s="4">
        <f>SUMIFS(Table_1[Revenue],Table_1[kode transaksi],Table_4[[#This Row],[Transaksi]])</f>
        <v>1833000</v>
      </c>
      <c r="I37" s="7" t="str">
        <f>IF(AND(H37&gt;'Misi 5-1'!G35,G37&gt;5),"20%","-")</f>
        <v>-</v>
      </c>
      <c r="K37" s="1" t="s">
        <v>139</v>
      </c>
      <c r="L37" s="1">
        <f>SUMIFS(Table_1[Jumlah Pembelian],Table_1[kode transaksi],Table_5[[#This Row],[Transaksi]])</f>
        <v>3</v>
      </c>
      <c r="M37" s="2">
        <f>SUMIFS(Table_1[Revenue],Table_1[kode transaksi],Table_5[[#This Row],[Transaksi]])</f>
        <v>1797000</v>
      </c>
      <c r="N37" s="7" t="str">
        <f>IF(AND(M37&gt;'Misi 5-1'!L35,L37&gt;5),"20%","-")</f>
        <v>-</v>
      </c>
      <c r="P37" s="1" t="s">
        <v>176</v>
      </c>
      <c r="Q37" s="1">
        <f>SUMIFS(Table_1[Jumlah Pembelian],Table_1[kode transaksi],Table_6[[#This Row],[Transaksi]])</f>
        <v>1</v>
      </c>
      <c r="R37" s="4">
        <f>SUMIFS(Table_1[Revenue],Table_1[kode transaksi],Table_6[[#This Row],[Transaksi]])</f>
        <v>231000</v>
      </c>
      <c r="S37" s="7" t="str">
        <f>IF(AND(R37&gt;'Misi 5-1'!Q35,Q37&gt;5),"20%","-")</f>
        <v>-</v>
      </c>
    </row>
    <row r="38" spans="1:19" ht="14.25" customHeight="1" x14ac:dyDescent="0.35">
      <c r="C38" s="20"/>
      <c r="F38" s="1" t="s">
        <v>106</v>
      </c>
      <c r="G38" s="1">
        <f>SUMIFS(Table_1[Jumlah Pembelian],Table_1[kode transaksi],Table_4[[#This Row],[Transaksi]])</f>
        <v>3</v>
      </c>
      <c r="H38" s="4">
        <f>SUMIFS(Table_1[Revenue],Table_1[kode transaksi],Table_4[[#This Row],[Transaksi]])</f>
        <v>678000</v>
      </c>
      <c r="I38" s="7" t="str">
        <f>IF(AND(H38&gt;'Misi 5-1'!G36,G38&gt;5),"20%","-")</f>
        <v>-</v>
      </c>
      <c r="K38" s="1" t="s">
        <v>140</v>
      </c>
      <c r="L38" s="1">
        <f>SUMIFS(Table_1[Jumlah Pembelian],Table_1[kode transaksi],Table_5[[#This Row],[Transaksi]])</f>
        <v>2</v>
      </c>
      <c r="M38" s="2">
        <f>SUMIFS(Table_1[Revenue],Table_1[kode transaksi],Table_5[[#This Row],[Transaksi]])</f>
        <v>384000</v>
      </c>
      <c r="N38" s="7" t="str">
        <f>IF(AND(M38&gt;'Misi 5-1'!L36,L38&gt;5),"20%","-")</f>
        <v>-</v>
      </c>
      <c r="P38" s="1" t="s">
        <v>177</v>
      </c>
      <c r="Q38" s="1">
        <f>SUMIFS(Table_1[Jumlah Pembelian],Table_1[kode transaksi],Table_6[[#This Row],[Transaksi]])</f>
        <v>5</v>
      </c>
      <c r="R38" s="4">
        <f>SUMIFS(Table_1[Revenue],Table_1[kode transaksi],Table_6[[#This Row],[Transaksi]])</f>
        <v>729000</v>
      </c>
      <c r="S38" s="7" t="str">
        <f>IF(AND(R38&gt;'Misi 5-1'!Q36,Q38&gt;5),"20%","-")</f>
        <v>-</v>
      </c>
    </row>
    <row r="39" spans="1:19" ht="14.25" customHeight="1" thickBot="1" x14ac:dyDescent="0.4">
      <c r="H39" s="20"/>
      <c r="K39" s="1" t="s">
        <v>141</v>
      </c>
      <c r="L39" s="1">
        <f>SUMIFS(Table_1[Jumlah Pembelian],Table_1[kode transaksi],Table_5[[#This Row],[Transaksi]])</f>
        <v>12</v>
      </c>
      <c r="M39" s="2">
        <f>SUMIFS(Table_1[Revenue],Table_1[kode transaksi],Table_5[[#This Row],[Transaksi]])</f>
        <v>2403000</v>
      </c>
      <c r="N39" s="7" t="str">
        <f>IF(AND(M39&gt;'Misi 5-1'!L37,L39&gt;5),"20%","-")</f>
        <v>20%</v>
      </c>
      <c r="P39" s="1" t="s">
        <v>178</v>
      </c>
      <c r="Q39" s="1">
        <f>SUMIFS(Table_1[Jumlah Pembelian],Table_1[kode transaksi],Table_6[[#This Row],[Transaksi]])</f>
        <v>3</v>
      </c>
      <c r="R39" s="4">
        <f>SUMIFS(Table_1[Revenue],Table_1[kode transaksi],Table_6[[#This Row],[Transaksi]])</f>
        <v>63000</v>
      </c>
      <c r="S39" s="7" t="str">
        <f>IF(AND(R39&gt;'Misi 5-1'!Q37,Q39&gt;5),"20%","-")</f>
        <v>-</v>
      </c>
    </row>
    <row r="40" spans="1:19" ht="14.25" customHeight="1" thickTop="1" thickBot="1" x14ac:dyDescent="0.4">
      <c r="A40" s="8" t="s">
        <v>190</v>
      </c>
      <c r="B40" s="8"/>
      <c r="C40" s="9"/>
      <c r="D40" s="8">
        <f>COUNTIF(Table_3[[#All],[Diskon]],"20%")</f>
        <v>11</v>
      </c>
      <c r="K40" s="1" t="s">
        <v>142</v>
      </c>
      <c r="L40" s="1">
        <f>SUMIFS(Table_1[Jumlah Pembelian],Table_1[kode transaksi],Table_5[[#This Row],[Transaksi]])</f>
        <v>4</v>
      </c>
      <c r="M40" s="2">
        <f>SUMIFS(Table_1[Revenue],Table_1[kode transaksi],Table_5[[#This Row],[Transaksi]])</f>
        <v>1059000</v>
      </c>
      <c r="N40" s="7" t="str">
        <f>IF(AND(M40&gt;'Misi 5-1'!L38,L40&gt;5),"20%","-")</f>
        <v>-</v>
      </c>
      <c r="P40" s="1" t="s">
        <v>179</v>
      </c>
      <c r="Q40" s="1">
        <f>SUMIFS(Table_1[Jumlah Pembelian],Table_1[kode transaksi],Table_6[[#This Row],[Transaksi]])</f>
        <v>5</v>
      </c>
      <c r="R40" s="4">
        <f>SUMIFS(Table_1[Revenue],Table_1[kode transaksi],Table_6[[#This Row],[Transaksi]])</f>
        <v>1677000</v>
      </c>
      <c r="S40" s="7" t="str">
        <f>IF(AND(R40&gt;'Misi 5-1'!Q38,Q40&gt;5),"20%","-")</f>
        <v>-</v>
      </c>
    </row>
    <row r="41" spans="1:19" ht="14.25" customHeight="1" thickTop="1" x14ac:dyDescent="0.35">
      <c r="F41" s="10" t="s">
        <v>190</v>
      </c>
      <c r="G41" s="10"/>
      <c r="H41" s="11"/>
      <c r="I41" s="10">
        <f>COUNTIF(Table_4[[#All],[Diskon]],"20%")</f>
        <v>9</v>
      </c>
      <c r="K41" s="1" t="s">
        <v>143</v>
      </c>
      <c r="L41" s="1">
        <f>SUMIFS(Table_1[Jumlah Pembelian],Table_1[kode transaksi],Table_5[[#This Row],[Transaksi]])</f>
        <v>6</v>
      </c>
      <c r="M41" s="2">
        <f>SUMIFS(Table_1[Revenue],Table_1[kode transaksi],Table_5[[#This Row],[Transaksi]])</f>
        <v>1257000</v>
      </c>
      <c r="N41" s="7" t="str">
        <f>IF(AND(M41&gt;'Misi 5-1'!L39,L41&gt;5),"20%","-")</f>
        <v>20%</v>
      </c>
      <c r="R41" s="20"/>
    </row>
    <row r="42" spans="1:19" ht="14.25" customHeight="1" x14ac:dyDescent="0.35">
      <c r="M42" s="20"/>
    </row>
    <row r="43" spans="1:19" ht="14.25" customHeight="1" x14ac:dyDescent="0.35">
      <c r="P43" s="12" t="s">
        <v>190</v>
      </c>
      <c r="Q43" s="12"/>
      <c r="R43" s="13"/>
      <c r="S43" s="12">
        <f>COUNTIF(Table_6[[#All],[Diskon]],"20%")</f>
        <v>9</v>
      </c>
    </row>
    <row r="44" spans="1:19" ht="14.25" customHeight="1" x14ac:dyDescent="0.35">
      <c r="K44" s="14" t="s">
        <v>190</v>
      </c>
      <c r="L44" s="14"/>
      <c r="M44" s="15"/>
      <c r="N44" s="14">
        <f>COUNTIF(Table_5[[#All],[Diskon]],"20%")</f>
        <v>12</v>
      </c>
    </row>
    <row r="45" spans="1:19" ht="14.25" customHeight="1" x14ac:dyDescent="0.35"/>
    <row r="46" spans="1:19" ht="14.25" customHeight="1" x14ac:dyDescent="0.35"/>
    <row r="47" spans="1:19" ht="14.25" customHeight="1" x14ac:dyDescent="0.35"/>
    <row r="48" spans="1:19" ht="14.25" customHeight="1" x14ac:dyDescent="0.35"/>
    <row r="49" spans="10:10" ht="14.25" customHeight="1" x14ac:dyDescent="0.35"/>
    <row r="50" spans="10:10" ht="14.25" customHeight="1" x14ac:dyDescent="0.35"/>
    <row r="51" spans="10:10" ht="14.25" customHeight="1" x14ac:dyDescent="0.35"/>
    <row r="52" spans="10:10" ht="14.25" customHeight="1" x14ac:dyDescent="0.35"/>
    <row r="53" spans="10:10" ht="14.25" customHeight="1" x14ac:dyDescent="0.35"/>
    <row r="54" spans="10:10" ht="14.25" customHeight="1" x14ac:dyDescent="0.35"/>
    <row r="55" spans="10:10" ht="14.25" customHeight="1" x14ac:dyDescent="0.35"/>
    <row r="56" spans="10:10" ht="14.25" customHeight="1" x14ac:dyDescent="0.35"/>
    <row r="57" spans="10:10" ht="14.25" customHeight="1" x14ac:dyDescent="0.35"/>
    <row r="58" spans="10:10" ht="14.25" customHeight="1" x14ac:dyDescent="0.35"/>
    <row r="59" spans="10:10" ht="14.25" customHeight="1" x14ac:dyDescent="0.35"/>
    <row r="60" spans="10:10" ht="14.25" customHeight="1" x14ac:dyDescent="0.35">
      <c r="J60" s="2"/>
    </row>
    <row r="61" spans="10:10" ht="14.25" customHeight="1" x14ac:dyDescent="0.35"/>
    <row r="62" spans="10:10" ht="14.25" customHeight="1" x14ac:dyDescent="0.35"/>
    <row r="63" spans="10:10" ht="14.25" customHeight="1" x14ac:dyDescent="0.35"/>
    <row r="64" spans="10:10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4">
    <mergeCell ref="A2:D3"/>
    <mergeCell ref="F2:I3"/>
    <mergeCell ref="K2:N3"/>
    <mergeCell ref="P2:S3"/>
  </mergeCells>
  <pageMargins left="0.7" right="0.7" top="0.75" bottom="0.75" header="0" footer="0"/>
  <pageSetup orientation="landscape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Transaksi</vt:lpstr>
      <vt:lpstr>Misi 5-1</vt:lpstr>
      <vt:lpstr>Misi 5-2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Ahmad Ricky Ghozali</cp:lastModifiedBy>
  <cp:revision/>
  <dcterms:created xsi:type="dcterms:W3CDTF">2023-06-07T03:33:23Z</dcterms:created>
  <dcterms:modified xsi:type="dcterms:W3CDTF">2026-01-03T05:21:46Z</dcterms:modified>
  <cp:category/>
  <cp:contentStatus/>
</cp:coreProperties>
</file>